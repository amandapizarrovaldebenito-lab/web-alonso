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9dc727d9b4bf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9ccb4eb7a3bc48b2"/>
    <x:sheet xmlns:r="http://schemas.openxmlformats.org/officeDocument/2006/relationships" name="Financiamiento" sheetId="2" r:id="Rcd6222d8dcad4061"/>
    <x:sheet xmlns:r="http://schemas.openxmlformats.org/officeDocument/2006/relationships" name="Equipo y colaboradores" sheetId="3" r:id="R69d75cf1d30742ce"/>
    <x:sheet xmlns:r="http://schemas.openxmlformats.org/officeDocument/2006/relationships" name="Casos de estudio" sheetId="4" r:id="Ra5e10591bb8b477d"/>
    <x:sheet xmlns:r="http://schemas.openxmlformats.org/officeDocument/2006/relationships" name="Metodología" sheetId="5" r:id="Rf903eacd1b7b4e16"/>
    <x:sheet xmlns:r="http://schemas.openxmlformats.org/officeDocument/2006/relationships" name="Entregables" sheetId="6" r:id="R80587909ca254d36"/>
    <x:sheet xmlns:r="http://schemas.openxmlformats.org/officeDocument/2006/relationships" name="Cronograma" sheetId="7" r:id="R8dc5fa3262ac4c48"/>
    <x:sheet xmlns:r="http://schemas.openxmlformats.org/officeDocument/2006/relationships" name="Riesgos e impacto" sheetId="8" r:id="Rdc9cab7f472d4ed1"/>
    <x:sheet xmlns:r="http://schemas.openxmlformats.org/officeDocument/2006/relationships" name="Fuentes" sheetId="9" r:id="R1018649ecd624f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6">
    <x:font>
      <x:sz val="11"/>
      <x:name val="Carlito"/>
    </x:font>
    <x:font>
      <x:b/>
      <x:sz val="18"/>
      <x:color rgb="FFFFFFFF"/>
      <x:name val="Carlito"/>
    </x:font>
    <x:font>
      <x:i/>
      <x:sz val="10"/>
      <x:color rgb="FF033066"/>
      <x:name val="Carlito"/>
    </x:font>
    <x:font>
      <x:b/>
      <x:sz val="11"/>
      <x:color rgb="FFFFFFFF"/>
      <x:name val="Carlito"/>
    </x:font>
    <x:font>
      <x:sz val="10"/>
      <x:color rgb="FF243447"/>
      <x:name val="Carlito"/>
    </x:font>
    <x:font>
      <x:b/>
      <x:sz val="12"/>
      <x:color rgb="FF073B73"/>
      <x:name val="Carlito"/>
    </x:font>
    <x:font>
      <x:sz val="11"/>
      <x:color rgb="FF243447"/>
      <x:name val="Carlito"/>
    </x:font>
    <x:font>
      <x:b/>
      <x:sz val="11"/>
      <x:color rgb="FF073B73"/>
      <x:name val="Carlito"/>
    </x:font>
    <x:font>
      <x:b/>
      <x:sz val="18"/>
      <x:color rgb="FFFFFFFF"/>
      <x:name val="Arial"/>
    </x:font>
    <x:font>
      <x:i/>
      <x:sz val="10"/>
      <x:color rgb="FF033066"/>
      <x:name val="Arial"/>
    </x:font>
    <x:font>
      <x:sz val="11"/>
      <x:name val="Arial"/>
    </x:font>
    <x:font>
      <x:b/>
      <x:sz val="11"/>
      <x:color rgb="FFFFFFFF"/>
      <x:name val="Arial"/>
    </x:font>
    <x:font>
      <x:sz val="10"/>
      <x:color rgb="FF243447"/>
      <x:name val="Arial"/>
    </x:font>
    <x:font>
      <x:b/>
      <x:sz val="12"/>
      <x:color rgb="FF073B73"/>
      <x:name val="Arial"/>
    </x:font>
    <x:font>
      <x:sz val="11"/>
      <x:color rgb="FF243447"/>
      <x:name val="Arial"/>
    </x:font>
    <x:font>
      <x:b/>
      <x:sz val="11"/>
      <x:color rgb="FF073B73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073B73"/>
      </x:patternFill>
    </x:fill>
    <x:fill>
      <x:patternFill patternType="solid">
        <x:fgColor rgb="FFEAF3FB"/>
      </x:patternFill>
    </x:fill>
    <x:fill>
      <x:patternFill patternType="solid">
        <x:fgColor rgb="FF0148A2"/>
      </x:patternFill>
    </x:fill>
    <x:fill>
      <x:patternFill patternType="solid">
        <x:fgColor rgb="FFF5F9FD"/>
      </x:patternFill>
    </x:fill>
    <x:fill>
      <x:patternFill patternType="solid">
        <x:fgColor rgb="FFFFFFFF"/>
      </x:patternFill>
    </x:fill>
  </x:fills>
  <x:borders count="10">
    <x:border/>
    <x:border>
      <x:left style="thin">
        <x:color rgb="FFC9D8E8"/>
      </x:left>
      <x:right style="thin">
        <x:color rgb="FFC9D8E8"/>
      </x:right>
      <x:top style="thin">
        <x:color rgb="FFC9D8E8"/>
      </x:top>
      <x:bottom style="thin">
        <x:color rgb="FFC9D8E8"/>
      </x:bottom>
    </x:border>
    <x:border>
      <x:left style="thin">
        <x:color rgb="FFC9D8E8"/>
      </x:left>
      <x:top style="thin">
        <x:color rgb="FFC9D8E8"/>
      </x:top>
    </x:border>
    <x:border>
      <x:top style="thin">
        <x:color rgb="FFC9D8E8"/>
      </x:top>
    </x:border>
    <x:border>
      <x:right style="thin">
        <x:color rgb="FFC9D8E8"/>
      </x:right>
      <x:top style="thin">
        <x:color rgb="FFC9D8E8"/>
      </x:top>
    </x:border>
    <x:border>
      <x:left style="thin">
        <x:color rgb="FFC9D8E8"/>
      </x:left>
    </x:border>
    <x:border>
      <x:right style="thin">
        <x:color rgb="FFC9D8E8"/>
      </x:right>
    </x:border>
    <x:border>
      <x:left style="thin">
        <x:color rgb="FFC9D8E8"/>
      </x:left>
      <x:bottom style="thin">
        <x:color rgb="FFC9D8E8"/>
      </x:bottom>
    </x:border>
    <x:border>
      <x:bottom style="thin">
        <x:color rgb="FFC9D8E8"/>
      </x:bottom>
    </x:border>
    <x:border>
      <x:right style="thin">
        <x:color rgb="FFC9D8E8"/>
      </x:right>
      <x:bottom style="thin">
        <x:color rgb="FFC9D8E8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/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2" xfId="0" applyNumberFormat="1" applyFont="1" applyFill="1" applyBorder="1"/>
    <x:xf numFmtId="0" fontId="6" fillId="5" borderId="3" xfId="0" applyNumberFormat="1" applyFont="1" applyFill="1" applyBorder="1"/>
    <x:xf numFmtId="0" fontId="6" fillId="5" borderId="4" xfId="0" applyNumberFormat="1" applyFont="1" applyFill="1" applyBorder="1"/>
    <x:xf numFmtId="0" fontId="6" fillId="5" borderId="5" xfId="0" applyNumberFormat="1" applyFont="1" applyFill="1" applyBorder="1"/>
    <x:xf numFmtId="0" fontId="6" fillId="5" borderId="6" xfId="0" applyNumberFormat="1" applyFont="1" applyFill="1" applyBorder="1"/>
    <x:xf numFmtId="0" fontId="6" fillId="5" borderId="7" xfId="0" applyNumberFormat="1" applyFont="1" applyFill="1" applyBorder="1"/>
    <x:xf numFmtId="0" fontId="6" fillId="5" borderId="8" xfId="0" applyNumberFormat="1" applyFont="1" applyFill="1" applyBorder="1"/>
    <x:xf numFmtId="0" fontId="6" fillId="5" borderId="9" xfId="0" applyNumberFormat="1" applyFont="1" applyFill="1" applyBorder="1"/>
    <x:xf numFmtId="0" fontId="6" fillId="5" borderId="2" xfId="0" applyNumberFormat="1" applyFont="1" applyFill="1" applyBorder="1" applyAlignment="1">
      <x:alignment wrapText="1"/>
    </x:xf>
    <x:xf numFmtId="0" fontId="6" fillId="5" borderId="3" xfId="0" applyNumberFormat="1" applyFont="1" applyFill="1" applyBorder="1" applyAlignment="1">
      <x:alignment wrapText="1"/>
    </x:xf>
    <x:xf numFmtId="0" fontId="6" fillId="5" borderId="4" xfId="0" applyNumberFormat="1" applyFont="1" applyFill="1" applyBorder="1" applyAlignment="1">
      <x:alignment wrapText="1"/>
    </x:xf>
    <x:xf numFmtId="0" fontId="6" fillId="5" borderId="5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wrapText="1"/>
    </x:xf>
    <x:xf numFmtId="0" fontId="6" fillId="5" borderId="6" xfId="0" applyNumberFormat="1" applyFont="1" applyFill="1" applyBorder="1" applyAlignment="1">
      <x:alignment wrapText="1"/>
    </x:xf>
    <x:xf numFmtId="0" fontId="6" fillId="5" borderId="7" xfId="0" applyNumberFormat="1" applyFont="1" applyFill="1" applyBorder="1" applyAlignment="1">
      <x:alignment wrapText="1"/>
    </x:xf>
    <x:xf numFmtId="0" fontId="6" fillId="5" borderId="8" xfId="0" applyNumberFormat="1" applyFont="1" applyFill="1" applyBorder="1" applyAlignment="1">
      <x:alignment wrapText="1"/>
    </x:xf>
    <x:xf numFmtId="0" fontId="6" fillId="5" borderId="9" xfId="0" applyNumberFormat="1" applyFont="1" applyFill="1" applyBorder="1" applyAlignment="1">
      <x:alignment wrapText="1"/>
    </x:xf>
    <x:xf numFmtId="0" fontId="6" fillId="5" borderId="2" xfId="0" applyNumberFormat="1" applyFont="1" applyFill="1" applyBorder="1" applyAlignment="1">
      <x:alignment vertical="top" wrapText="1"/>
    </x:xf>
    <x:xf numFmtId="0" fontId="6" fillId="5" borderId="3" xfId="0" applyNumberFormat="1" applyFont="1" applyFill="1" applyBorder="1" applyAlignment="1">
      <x:alignment vertical="top" wrapText="1"/>
    </x:xf>
    <x:xf numFmtId="0" fontId="6" fillId="5" borderId="4" xfId="0" applyNumberFormat="1" applyFont="1" applyFill="1" applyBorder="1" applyAlignment="1">
      <x:alignment vertical="top" wrapText="1"/>
    </x:xf>
    <x:xf numFmtId="0" fontId="6" fillId="5" borderId="5" xfId="0" applyNumberFormat="1" applyFont="1" applyFill="1" applyBorder="1" applyAlignment="1">
      <x:alignment vertical="top"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6" xfId="0" applyNumberFormat="1" applyFont="1" applyFill="1" applyBorder="1" applyAlignment="1">
      <x:alignment vertical="top" wrapText="1"/>
    </x:xf>
    <x:xf numFmtId="0" fontId="6" fillId="5" borderId="7" xfId="0" applyNumberFormat="1" applyFont="1" applyFill="1" applyBorder="1" applyAlignment="1">
      <x:alignment vertical="top" wrapText="1"/>
    </x:xf>
    <x:xf numFmtId="0" fontId="6" fillId="5" borderId="8" xfId="0" applyNumberFormat="1" applyFont="1" applyFill="1" applyBorder="1" applyAlignment="1">
      <x:alignment vertical="top" wrapText="1"/>
    </x:xf>
    <x:xf numFmtId="0" fontId="6" fillId="5" borderId="9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2" xfId="0" applyNumberFormat="1" applyFont="1" applyFill="1" applyBorder="1"/>
    <x:xf numFmtId="0" fontId="6" fillId="6" borderId="3" xfId="0" applyNumberFormat="1" applyFont="1" applyFill="1" applyBorder="1"/>
    <x:xf numFmtId="0" fontId="6" fillId="6" borderId="4" xfId="0" applyNumberFormat="1" applyFont="1" applyFill="1" applyBorder="1"/>
    <x:xf numFmtId="0" fontId="6" fillId="6" borderId="5" xfId="0" applyNumberFormat="1" applyFont="1" applyFill="1" applyBorder="1"/>
    <x:xf numFmtId="0" fontId="6" fillId="6" borderId="6" xfId="0" applyNumberFormat="1" applyFont="1" applyFill="1" applyBorder="1"/>
    <x:xf numFmtId="0" fontId="6" fillId="6" borderId="7" xfId="0" applyNumberFormat="1" applyFont="1" applyFill="1" applyBorder="1"/>
    <x:xf numFmtId="0" fontId="6" fillId="6" borderId="8" xfId="0" applyNumberFormat="1" applyFont="1" applyFill="1" applyBorder="1"/>
    <x:xf numFmtId="0" fontId="6" fillId="6" borderId="9" xfId="0" applyNumberFormat="1" applyFont="1" applyFill="1" applyBorder="1"/>
    <x:xf numFmtId="0" fontId="6" fillId="6" borderId="2" xfId="0" applyNumberFormat="1" applyFont="1" applyFill="1" applyBorder="1" applyAlignment="1">
      <x:alignment wrapText="1"/>
    </x:xf>
    <x:xf numFmtId="0" fontId="6" fillId="6" borderId="3" xfId="0" applyNumberFormat="1" applyFont="1" applyFill="1" applyBorder="1" applyAlignment="1">
      <x:alignment wrapText="1"/>
    </x:xf>
    <x:xf numFmtId="0" fontId="6" fillId="6" borderId="4" xfId="0" applyNumberFormat="1" applyFont="1" applyFill="1" applyBorder="1" applyAlignment="1">
      <x:alignment wrapText="1"/>
    </x:xf>
    <x:xf numFmtId="0" fontId="6" fillId="6" borderId="5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6" borderId="6" xfId="0" applyNumberFormat="1" applyFont="1" applyFill="1" applyBorder="1" applyAlignment="1">
      <x:alignment wrapText="1"/>
    </x:xf>
    <x:xf numFmtId="0" fontId="6" fillId="6" borderId="7" xfId="0" applyNumberFormat="1" applyFont="1" applyFill="1" applyBorder="1" applyAlignment="1">
      <x:alignment wrapText="1"/>
    </x:xf>
    <x:xf numFmtId="0" fontId="6" fillId="6" borderId="8" xfId="0" applyNumberFormat="1" applyFont="1" applyFill="1" applyBorder="1" applyAlignment="1">
      <x:alignment wrapText="1"/>
    </x:xf>
    <x:xf numFmtId="0" fontId="6" fillId="6" borderId="9" xfId="0" applyNumberFormat="1" applyFont="1" applyFill="1" applyBorder="1" applyAlignment="1">
      <x:alignment wrapText="1"/>
    </x:xf>
    <x:xf numFmtId="0" fontId="6" fillId="6" borderId="2" xfId="0" applyNumberFormat="1" applyFont="1" applyFill="1" applyBorder="1" applyAlignment="1">
      <x:alignment vertical="top" wrapText="1"/>
    </x:xf>
    <x:xf numFmtId="0" fontId="6" fillId="6" borderId="3" xfId="0" applyNumberFormat="1" applyFont="1" applyFill="1" applyBorder="1" applyAlignment="1">
      <x:alignment vertical="top" wrapText="1"/>
    </x:xf>
    <x:xf numFmtId="0" fontId="6" fillId="6" borderId="4" xfId="0" applyNumberFormat="1" applyFont="1" applyFill="1" applyBorder="1" applyAlignment="1">
      <x:alignment vertical="top" wrapText="1"/>
    </x:xf>
    <x:xf numFmtId="0" fontId="6" fillId="6" borderId="5" xfId="0" applyNumberFormat="1" applyFont="1" applyFill="1" applyBorder="1" applyAlignment="1">
      <x:alignment vertical="top" wrapText="1"/>
    </x:xf>
    <x:xf numFmtId="0" fontId="6" fillId="6" borderId="0" xfId="0" applyNumberFormat="1" applyFont="1" applyFill="1" applyBorder="1" applyAlignment="1">
      <x:alignment vertical="top" wrapText="1"/>
    </x:xf>
    <x:xf numFmtId="0" fontId="6" fillId="6" borderId="6" xfId="0" applyNumberFormat="1" applyFont="1" applyFill="1" applyBorder="1" applyAlignment="1">
      <x:alignment vertical="top" wrapText="1"/>
    </x:xf>
    <x:xf numFmtId="0" fontId="6" fillId="6" borderId="7" xfId="0" applyNumberFormat="1" applyFont="1" applyFill="1" applyBorder="1" applyAlignment="1">
      <x:alignment vertical="top" wrapText="1"/>
    </x:xf>
    <x:xf numFmtId="0" fontId="6" fillId="6" borderId="8" xfId="0" applyNumberFormat="1" applyFont="1" applyFill="1" applyBorder="1" applyAlignment="1">
      <x:alignment vertical="top" wrapText="1"/>
    </x:xf>
    <x:xf numFmtId="0" fontId="6" fillId="6" borderId="9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7" fillId="3" borderId="1" xfId="0" applyNumberFormat="1" applyFont="1" applyFill="1" applyBorder="1"/>
    <x:xf numFmtId="0" fontId="8" fillId="2" borderId="0" xfId="0" applyNumberFormat="1" applyFont="1" applyFill="1" applyBorder="1" applyAlignment="1">
      <x:alignment horizontal="left"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11" fillId="4" borderId="1" xfId="0" applyNumberFormat="1" applyFont="1" applyFill="1" applyBorder="1" applyAlignment="1">
      <x:alignment vertical="center" wrapText="1"/>
    </x:xf>
    <x:xf numFmtId="0" fontId="12" fillId="0" borderId="1" xfId="0" applyNumberFormat="1" applyFont="1" applyFill="1" applyBorder="1" applyAlignment="1">
      <x:alignment vertical="top" wrapText="1"/>
    </x:xf>
    <x:xf numFmtId="0" fontId="13" fillId="3" borderId="0" xfId="0" applyNumberFormat="1" applyFont="1" applyFill="1" applyBorder="1"/>
    <x:xf numFmtId="0" fontId="14" fillId="5" borderId="2" xfId="0" applyNumberFormat="1" applyFont="1" applyFill="1" applyBorder="1" applyAlignment="1">
      <x:alignment vertical="top" wrapText="1"/>
    </x:xf>
    <x:xf numFmtId="0" fontId="14" fillId="5" borderId="3" xfId="0" applyNumberFormat="1" applyFont="1" applyFill="1" applyBorder="1" applyAlignment="1">
      <x:alignment vertical="top" wrapText="1"/>
    </x:xf>
    <x:xf numFmtId="0" fontId="14" fillId="5" borderId="4" xfId="0" applyNumberFormat="1" applyFont="1" applyFill="1" applyBorder="1" applyAlignment="1">
      <x:alignment vertical="top" wrapText="1"/>
    </x:xf>
    <x:xf numFmtId="0" fontId="14" fillId="5" borderId="5" xfId="0" applyNumberFormat="1" applyFont="1" applyFill="1" applyBorder="1" applyAlignment="1">
      <x:alignment vertical="top" wrapText="1"/>
    </x:xf>
    <x:xf numFmtId="0" fontId="14" fillId="5" borderId="0" xfId="0" applyNumberFormat="1" applyFont="1" applyFill="1" applyBorder="1" applyAlignment="1">
      <x:alignment vertical="top" wrapText="1"/>
    </x:xf>
    <x:xf numFmtId="0" fontId="14" fillId="5" borderId="6" xfId="0" applyNumberFormat="1" applyFont="1" applyFill="1" applyBorder="1" applyAlignment="1">
      <x:alignment vertical="top" wrapText="1"/>
    </x:xf>
    <x:xf numFmtId="0" fontId="14" fillId="5" borderId="7" xfId="0" applyNumberFormat="1" applyFont="1" applyFill="1" applyBorder="1" applyAlignment="1">
      <x:alignment vertical="top" wrapText="1"/>
    </x:xf>
    <x:xf numFmtId="0" fontId="14" fillId="5" borderId="8" xfId="0" applyNumberFormat="1" applyFont="1" applyFill="1" applyBorder="1" applyAlignment="1">
      <x:alignment vertical="top" wrapText="1"/>
    </x:xf>
    <x:xf numFmtId="0" fontId="14" fillId="5" borderId="9" xfId="0" applyNumberFormat="1" applyFont="1" applyFill="1" applyBorder="1" applyAlignment="1">
      <x:alignment vertical="top" wrapText="1"/>
    </x:xf>
    <x:xf numFmtId="0" fontId="14" fillId="6" borderId="2" xfId="0" applyNumberFormat="1" applyFont="1" applyFill="1" applyBorder="1" applyAlignment="1">
      <x:alignment vertical="top" wrapText="1"/>
    </x:xf>
    <x:xf numFmtId="0" fontId="14" fillId="6" borderId="3" xfId="0" applyNumberFormat="1" applyFont="1" applyFill="1" applyBorder="1" applyAlignment="1">
      <x:alignment vertical="top" wrapText="1"/>
    </x:xf>
    <x:xf numFmtId="0" fontId="14" fillId="6" borderId="4" xfId="0" applyNumberFormat="1" applyFont="1" applyFill="1" applyBorder="1" applyAlignment="1">
      <x:alignment vertical="top" wrapText="1"/>
    </x:xf>
    <x:xf numFmtId="0" fontId="14" fillId="6" borderId="5" xfId="0" applyNumberFormat="1" applyFont="1" applyFill="1" applyBorder="1" applyAlignment="1">
      <x:alignment vertical="top" wrapText="1"/>
    </x:xf>
    <x:xf numFmtId="0" fontId="14" fillId="6" borderId="0" xfId="0" applyNumberFormat="1" applyFont="1" applyFill="1" applyBorder="1" applyAlignment="1">
      <x:alignment vertical="top" wrapText="1"/>
    </x:xf>
    <x:xf numFmtId="0" fontId="14" fillId="6" borderId="6" xfId="0" applyNumberFormat="1" applyFont="1" applyFill="1" applyBorder="1" applyAlignment="1">
      <x:alignment vertical="top" wrapText="1"/>
    </x:xf>
    <x:xf numFmtId="0" fontId="14" fillId="6" borderId="7" xfId="0" applyNumberFormat="1" applyFont="1" applyFill="1" applyBorder="1" applyAlignment="1">
      <x:alignment vertical="top" wrapText="1"/>
    </x:xf>
    <x:xf numFmtId="0" fontId="14" fillId="6" borderId="8" xfId="0" applyNumberFormat="1" applyFont="1" applyFill="1" applyBorder="1" applyAlignment="1">
      <x:alignment vertical="top" wrapText="1"/>
    </x:xf>
    <x:xf numFmtId="0" fontId="14" fillId="6" borderId="9" xfId="0" applyNumberFormat="1" applyFont="1" applyFill="1" applyBorder="1" applyAlignment="1">
      <x:alignment vertical="top" wrapText="1"/>
    </x:xf>
    <x:xf numFmtId="200" fontId="12" fillId="0" borderId="1" xfId="0" applyNumberFormat="1" applyFont="1" applyFill="1" applyBorder="1" applyAlignment="1">
      <x:alignment vertical="top" wrapText="1"/>
    </x:xf>
    <x:xf numFmtId="0" fontId="15" fillId="3" borderId="1" xfId="0" applyNumberFormat="1" applyFont="1" applyFill="1" applyBorder="1"/>
    <x:xf numFmtId="0" fontId="10" fillId="0" borderId="0" xfId="0" applyNumberFormat="1" applyFont="1" applyFill="1" applyBorder="1" applyAlignment="1">
      <x:alignment wrapText="1"/>
    </x:xf>
    <x:xf numFmtId="0" fontId="13" fillId="3" borderId="0" xfId="0" applyNumberFormat="1" applyFont="1" applyFill="1" applyBorder="1" applyAlignment="1">
      <x:alignment wrapText="1"/>
    </x:xf>
    <x:xf numFmtId="0" fontId="15" fillId="3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color rgb="FF17633A"/>
      </x:font>
      <x:fill>
        <x:patternFill patternType="solid">
          <x:bgColor rgb="FFDFF3E8"/>
        </x:patternFill>
      </x:fill>
    </x:dxf>
    <x:dxf>
      <x:font>
        <x:color rgb="FF6C737A"/>
      </x:font>
      <x:fill>
        <x:patternFill patternType="solid">
          <x:bgColor rgb="FFEEF2F6"/>
        </x:patternFill>
      </x:fill>
    </x:dxf>
    <x:dxf>
      <x:font>
        <x:color rgb="FF795400"/>
      </x:font>
      <x:fill>
        <x:patternFill patternType="solid">
          <x:bgColor rgb="FFFFF3C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3d3ddb5654b0e" /><Relationship Type="http://schemas.openxmlformats.org/officeDocument/2006/relationships/theme" Target="/xl/theme/theme1.xml" Id="R4252bc5d69464b0b" /><Relationship Type="http://schemas.openxmlformats.org/officeDocument/2006/relationships/sharedStrings" Target="/xl/sharedStrings.xml" Id="Rfbe35d167dcb48c0" /><Relationship Type="http://schemas.openxmlformats.org/officeDocument/2006/relationships/worksheet" Target="/xl/worksheets/sheet1.xml" Id="R9ccb4eb7a3bc48b2" /><Relationship Type="http://schemas.openxmlformats.org/officeDocument/2006/relationships/worksheet" Target="/xl/worksheets/sheet2.xml" Id="Rcd6222d8dcad4061" /><Relationship Type="http://schemas.openxmlformats.org/officeDocument/2006/relationships/worksheet" Target="/xl/worksheets/sheet3.xml" Id="R69d75cf1d30742ce" /><Relationship Type="http://schemas.openxmlformats.org/officeDocument/2006/relationships/worksheet" Target="/xl/worksheets/sheet4.xml" Id="Ra5e10591bb8b477d" /><Relationship Type="http://schemas.openxmlformats.org/officeDocument/2006/relationships/worksheet" Target="/xl/worksheets/sheet5.xml" Id="Rf903eacd1b7b4e16" /><Relationship Type="http://schemas.openxmlformats.org/officeDocument/2006/relationships/worksheet" Target="/xl/worksheets/sheet6.xml" Id="R80587909ca254d36" /><Relationship Type="http://schemas.openxmlformats.org/officeDocument/2006/relationships/worksheet" Target="/xl/worksheets/sheet7.xml" Id="R8dc5fa3262ac4c48" /><Relationship Type="http://schemas.openxmlformats.org/officeDocument/2006/relationships/worksheet" Target="/xl/worksheets/sheet8.xml" Id="Rdc9cab7f472d4ed1" /><Relationship Type="http://schemas.openxmlformats.org/officeDocument/2006/relationships/worksheet" Target="/xl/worksheets/sheet9.xml" Id="R1018649ecd624f02" /></Relationships>
</file>

<file path=xl/tables/table1.xml><?xml version="1.0" encoding="utf-8"?>
<x:table xmlns:x="http://schemas.openxmlformats.org/spreadsheetml/2006/main" id="1" name="FundingTable" displayName="FundingTable" ref="A3:E12" headerRowCount="1" totalsRowCount="0" totalsRowShown="0">
  <x:autoFilter ref="A3:E12"/>
  <x:tableColumns count="5">
    <x:tableColumn id="1" name="Campo"/>
    <x:tableColumn id="2" name="Valor"/>
    <x:tableColumn id="3" name="Estado"/>
    <x:tableColumn id="4" name="Observación / criterio"/>
    <x:tableColumn id="5" name="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amTable" displayName="TeamTable" ref="A3:G12" headerRowCount="1" totalsRowCount="0" totalsRowShown="0">
  <x:autoFilter ref="A3:G12"/>
  <x:tableColumns count="7">
    <x:tableColumn id="1" name="Persona / entidad"/>
    <x:tableColumn id="2" name="Tipo"/>
    <x:tableColumn id="3" name="Rol"/>
    <x:tableColumn id="4" name="Institución"/>
    <x:tableColumn id="5" name="Participación descrita"/>
    <x:tableColumn id="6" name="Identificación"/>
    <x:tableColumn id="7" name="Fu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seStudyTable" displayName="CaseStudyTable" ref="A3:G11" headerRowCount="1" totalsRowCount="0" totalsRowShown="0">
  <x:autoFilter ref="A3:G11"/>
  <x:tableColumns count="7">
    <x:tableColumn id="1" name="Categoría"/>
    <x:tableColumn id="2" name="Caso / ubicación"/>
    <x:tableColumn id="3" name="Descripción"/>
    <x:tableColumn id="4" name="Criterio / problema"/>
    <x:tableColumn id="5" name="Variables o análisis"/>
    <x:tableColumn id="6" name="Uso esperado"/>
    <x:tableColumn id="7" name="Fu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hodsTable" displayName="MethodsTable" ref="A3:G6" headerRowCount="1" totalsRowCount="0" totalsRowShown="0">
  <x:autoFilter ref="A3:G6"/>
  <x:tableColumns count="7">
    <x:tableColumn id="1" name="WP"/>
    <x:tableColumn id="2" name="Propósito"/>
    <x:tableColumn id="3" name="Tareas principales"/>
    <x:tableColumn id="4" name="Métodos y herramientas"/>
    <x:tableColumn id="5" name="Resultados esperados"/>
    <x:tableColumn id="6" name="Participación"/>
    <x:tableColumn id="7" name="Fuent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DeliverablesTable" displayName="DeliverablesTable" ref="A3:G21" headerRowCount="1" totalsRowCount="0" totalsRowShown="0">
  <x:autoFilter ref="A3:G21"/>
  <x:tableColumns count="7">
    <x:tableColumn id="1" name="Código"/>
    <x:tableColumn id="2" name="Tipo"/>
    <x:tableColumn id="3" name="WP / área"/>
    <x:tableColumn id="4" name="Producto"/>
    <x:tableColumn id="5" name="Momento previsto"/>
    <x:tableColumn id="6" name="Observación"/>
    <x:tableColumn id="7" name="Fuent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imelineTable" displayName="TimelineTable" ref="A3:H17" headerRowCount="1" totalsRowCount="0" totalsRowShown="0">
  <x:autoFilter ref="A3:H17"/>
  <x:tableColumns count="8">
    <x:tableColumn id="1" name="Código"/>
    <x:tableColumn id="2" name="Actividad"/>
    <x:tableColumn id="3" name="Inicio"/>
    <x:tableColumn id="4" name="Fin"/>
    <x:tableColumn id="5" name="Año"/>
    <x:tableColumn id="6" name="WP"/>
    <x:tableColumn id="7" name="Hito / producto"/>
    <x:tableColumn id="8" name="Fuen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RiskTable" displayName="RiskTable" ref="A3:E7" headerRowCount="1" totalsRowCount="0" totalsRowShown="0">
  <x:autoFilter ref="A3:E7"/>
  <x:tableColumns count="5">
    <x:tableColumn id="1" name="Riesgo"/>
    <x:tableColumn id="2" name="Probabilidad"/>
    <x:tableColumn id="3" name="Impacto"/>
    <x:tableColumn id="4" name="Acciones de contingencia"/>
    <x:tableColumn id="5" name="Fuen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SourcesTable" displayName="SourcesTable" ref="A3:F11" headerRowCount="1" totalsRowCount="0" totalsRowShown="0">
  <x:autoFilter ref="A3:F11"/>
  <x:tableColumns count="6">
    <x:tableColumn id="1" name="ID"/>
    <x:tableColumn id="2" name="Tipo"/>
    <x:tableColumn id="3" name="Fuente"/>
    <x:tableColumn id="4" name="Ruta / URL"/>
    <x:tableColumn id="5" name="Uso principal"/>
    <x:tableColumn id="6" name="Nota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be6db0d0cb04f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409d5f2db241b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d607bed6b1e49d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ad74547e24f4e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5530a38dd2144c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7d4de780f03471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a443f39ec291460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41afb576f2a40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1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</x:cols>
  <x:sheetData>
    <x:row r="1" ht="21.600000381469727" hidden="0" customHeight="1">
      <x:c r="A1" s="78" t="str">
        <x:v>FLOOD RESILIENCE — Ficha de investigación</x:v>
      </x:c>
      <x:c r="B1" s="78" t="str">
        <x:v>FLOOD RESILIENCE — Ficha de investigación</x:v>
      </x:c>
      <x:c r="C1" s="78" t="str">
        <x:v>FLOOD RESILIENCE — Ficha de investigación</x:v>
      </x:c>
      <x:c r="D1" s="78" t="str">
        <x:v>FLOOD RESILIENCE — Ficha de investigación</x:v>
      </x:c>
      <x:c r="E1" s="78" t="str">
        <x:v>FLOOD RESILIENCE — Ficha de investigación</x:v>
      </x:c>
      <x:c r="F1" s="78" t="str">
        <x:v>FLOOD RESILIENCE — Ficha de investigación</x:v>
      </x:c>
      <x:c r="G1" s="78" t="str">
        <x:v>FLOOD RESILIENCE — Ficha de investigación</x:v>
      </x:c>
      <x:c r="H1" s="78" t="str">
        <x:v>FLOOD RESILIENCE — Ficha de investigación</x:v>
      </x:c>
    </x:row>
    <x:row r="2" ht="15" hidden="0" customHeight="1">
      <x:c r="A2" s="79" t="str">
        <x:v>Síntesis estructurada de AbstractIniEng.pdf y ProposedResearchIniEng.pdf, contrastada con fuentes públicas.</x:v>
      </x:c>
      <x:c r="B2" s="79" t="str">
        <x:v>Síntesis estructurada de AbstractIniEng.pdf y ProposedResearchIniEng.pdf, contrastada con fuentes públicas.</x:v>
      </x:c>
      <x:c r="C2" s="79" t="str">
        <x:v>Síntesis estructurada de AbstractIniEng.pdf y ProposedResearchIniEng.pdf, contrastada con fuentes públicas.</x:v>
      </x:c>
      <x:c r="D2" s="79" t="str">
        <x:v>Síntesis estructurada de AbstractIniEng.pdf y ProposedResearchIniEng.pdf, contrastada con fuentes públicas.</x:v>
      </x:c>
      <x:c r="E2" s="79" t="str">
        <x:v>Síntesis estructurada de AbstractIniEng.pdf y ProposedResearchIniEng.pdf, contrastada con fuentes públicas.</x:v>
      </x:c>
      <x:c r="F2" s="79" t="str">
        <x:v>Síntesis estructurada de AbstractIniEng.pdf y ProposedResearchIniEng.pdf, contrastada con fuentes públicas.</x:v>
      </x:c>
      <x:c r="G2" s="79" t="str">
        <x:v>Síntesis estructurada de AbstractIniEng.pdf y ProposedResearchIniEng.pdf, contrastada con fuentes públicas.</x:v>
      </x:c>
      <x:c r="H2" s="79" t="str">
        <x:v>Síntesis estructurada de AbstractIniEng.pdf y ProposedResearchIniEng.pdf, contrastada con fuentes públicas.</x:v>
      </x:c>
    </x:row>
    <x:row r="3" ht="15" hidden="0" customHeight="1">
      <x:c r="A3" s="80"/>
      <x:c r="B3" s="80"/>
      <x:c r="C3" s="80"/>
      <x:c r="D3" s="80"/>
      <x:c r="E3" s="80"/>
      <x:c r="F3" s="80"/>
      <x:c r="G3" s="80"/>
      <x:c r="H3" s="80"/>
    </x:row>
    <x:row r="4" ht="15" hidden="0" customHeight="1">
      <x:c r="A4" s="81" t="str">
        <x:v>Campo</x:v>
      </x:c>
      <x:c r="B4" s="81" t="str">
        <x:v>Información</x:v>
      </x:c>
      <x:c r="C4" s="104"/>
      <x:c r="D4" s="104"/>
      <x:c r="E4" s="104"/>
      <x:c r="F4" s="104"/>
      <x:c r="G4" s="104"/>
      <x:c r="H4" s="104"/>
    </x:row>
    <x:row r="5" ht="30" hidden="0" customHeight="1">
      <x:c r="A5" s="82" t="str">
        <x:v>Título completo</x:v>
      </x:c>
      <x:c r="B5" s="82" t="str">
        <x:v>Forensic Local scOur assessment fOr briDge resilience (FLOOD RESILIENCE)</x:v>
      </x:c>
      <x:c r="C5" s="104"/>
      <x:c r="D5" s="104"/>
      <x:c r="E5" s="104"/>
      <x:c r="F5" s="104"/>
      <x:c r="G5" s="104"/>
      <x:c r="H5" s="104"/>
    </x:row>
    <x:row r="6" ht="42" hidden="0" customHeight="1">
      <x:c r="A6" s="82" t="str">
        <x:v>Tipo de proyecto</x:v>
      </x:c>
      <x:c r="B6" s="82" t="str">
        <x:v>Proyecto de investigación aplicada con enfoque hidrológico, hidráulico y estructural</x:v>
      </x:c>
      <x:c r="C6" s="104"/>
      <x:c r="D6" s="104"/>
      <x:c r="E6" s="104"/>
      <x:c r="F6" s="104"/>
      <x:c r="G6" s="104"/>
      <x:c r="H6" s="104"/>
    </x:row>
    <x:row r="7" ht="86" hidden="0" customHeight="1">
      <x:c r="A7" s="82" t="str">
        <x:v>Objetivo general</x:v>
      </x:c>
      <x:c r="B7" s="82" t="str">
        <x:v>Desarrollar una estrategia probabilística para evaluar el riesgo de socavación de puentes durante crecidas, integrando información hidrológica/hidráulica, vulnerabilidad estructural y escenarios futuros con variabilidad hidrológica en Chile.</x:v>
      </x:c>
      <x:c r="C7" s="104"/>
      <x:c r="D7" s="104"/>
      <x:c r="E7" s="104"/>
      <x:c r="F7" s="104"/>
      <x:c r="G7" s="104"/>
      <x:c r="H7" s="104"/>
    </x:row>
    <x:row r="8" ht="86" hidden="0" customHeight="1">
      <x:c r="A8" s="82" t="str">
        <x:v>Problema abordado</x:v>
      </x:c>
      <x:c r="B8" s="82" t="str">
        <x:v>Las prácticas actuales dependen de inspecciones visuales costosas y posteriores al evento, no representan bien la dinámica erosión–relleno ni cuantifican explícitamente la probabilidad de daño y las pérdidas ante múltiples crecidas.</x:v>
      </x:c>
      <x:c r="C8" s="104"/>
      <x:c r="D8" s="104"/>
      <x:c r="E8" s="104"/>
      <x:c r="F8" s="104"/>
      <x:c r="G8" s="104"/>
      <x:c r="H8" s="104"/>
    </x:row>
    <x:row r="9" ht="48" hidden="0" customHeight="1">
      <x:c r="A9" s="82" t="str">
        <x:v>Alcance geográfico</x:v>
      </x:c>
      <x:c r="B9" s="82" t="str">
        <x:v>Chile; resultados concebidos para ser transferibles a otras tipologías de puentes y redes de infraestructura.</x:v>
      </x:c>
      <x:c r="C9" s="104"/>
      <x:c r="D9" s="104"/>
      <x:c r="E9" s="104"/>
      <x:c r="F9" s="104"/>
      <x:c r="G9" s="104"/>
      <x:c r="H9" s="104"/>
    </x:row>
    <x:row r="10" ht="22" hidden="0" customHeight="1">
      <x:c r="A10" s="82" t="str">
        <x:v>Duración planificada</x:v>
      </x:c>
      <x:c r="B10" s="82" t="str">
        <x:v>3 años</x:v>
      </x:c>
      <x:c r="C10" s="104"/>
      <x:c r="D10" s="104"/>
      <x:c r="E10" s="104"/>
      <x:c r="F10" s="104"/>
      <x:c r="G10" s="104"/>
      <x:c r="H10" s="104"/>
    </x:row>
    <x:row r="11" ht="50" hidden="0" customHeight="1">
      <x:c r="A11" s="82" t="str">
        <x:v>Periodo</x:v>
      </x:c>
      <x:c r="B11" s="82" t="str">
        <x:v>Marzo de 2024 – febrero de 2027 (término calculado a partir del inicio y la duración declarados)</x:v>
      </x:c>
      <x:c r="C11" s="104"/>
      <x:c r="D11" s="104"/>
      <x:c r="E11" s="104"/>
      <x:c r="F11" s="104"/>
      <x:c r="G11" s="104"/>
      <x:c r="H11" s="104"/>
    </x:row>
    <x:row r="12" ht="15" hidden="0" customHeight="1">
      <x:c r="A12" s="104"/>
      <x:c r="B12" s="104"/>
      <x:c r="C12" s="104"/>
      <x:c r="D12" s="104"/>
      <x:c r="E12" s="104"/>
      <x:c r="F12" s="104"/>
      <x:c r="G12" s="104"/>
      <x:c r="H12" s="104"/>
    </x:row>
    <x:row r="13" ht="15" hidden="0" customHeight="1">
      <x:c r="A13" s="105" t="str">
        <x:v>Resumen ejecutivo (1 párrafo)</x:v>
      </x:c>
      <x:c r="B13" s="105"/>
      <x:c r="C13" s="105"/>
      <x:c r="D13" s="105"/>
      <x:c r="E13" s="105"/>
      <x:c r="F13" s="105"/>
      <x:c r="G13" s="105"/>
      <x:c r="H13" s="105"/>
    </x:row>
    <x:row r="14" ht="30" customHeight="1">
      <x:c r="A14" s="84" t="str">
        <x:v>FLOOD RESILIENCE propone un marco probabilístico integral para estimar el riesgo actual y futuro de colapso de puentes por socavación durante crecidas en Chile. El proyecto combina modelación estocástica de caudales y cargas hidrológico-hidráulicas, modelos de socavación que representan erosión y relleno, análisis estructural no lineal y curvas de fragilidad, para integrar peligro, vulnerabilidad y exposición. Se organiza en tres paquetes de trabajo que culminan en modelos de peligro, vulnerabilidad y riesgo para dos casos de estudio de puentes críticos, junto con lineamientos técnicos, publicaciones abiertas, un informe ejecutivo, actividades de difusión y datos, código y análisis bajo prácticas de ciencia abierta.</x:v>
      </x:c>
      <x:c r="B14" s="85"/>
      <x:c r="C14" s="85"/>
      <x:c r="D14" s="85"/>
      <x:c r="E14" s="85"/>
      <x:c r="F14" s="85"/>
      <x:c r="G14" s="85"/>
      <x:c r="H14" s="86"/>
    </x:row>
    <x:row r="15" ht="30" customHeight="1">
      <x:c r="A15" s="87"/>
      <x:c r="B15" s="88"/>
      <x:c r="C15" s="88"/>
      <x:c r="D15" s="88"/>
      <x:c r="E15" s="88"/>
      <x:c r="F15" s="88"/>
      <x:c r="G15" s="88"/>
      <x:c r="H15" s="89"/>
    </x:row>
    <x:row r="16" ht="30" customHeight="1">
      <x:c r="A16" s="90"/>
      <x:c r="B16" s="91"/>
      <x:c r="C16" s="91"/>
      <x:c r="D16" s="91"/>
      <x:c r="E16" s="91"/>
      <x:c r="F16" s="91"/>
      <x:c r="G16" s="91"/>
      <x:c r="H16" s="92"/>
    </x:row>
    <x:row r="17" ht="15" hidden="0" customHeight="1">
      <x:c r="A17" s="104"/>
      <x:c r="B17" s="104"/>
      <x:c r="C17" s="104"/>
      <x:c r="D17" s="104"/>
      <x:c r="E17" s="104"/>
      <x:c r="F17" s="104"/>
      <x:c r="G17" s="104"/>
      <x:c r="H17" s="104"/>
    </x:row>
    <x:row r="18" ht="15" hidden="0" customHeight="1">
      <x:c r="A18" s="105" t="str">
        <x:v>Lectura rápida para comprender el proyecto</x:v>
      </x:c>
      <x:c r="B18" s="105"/>
      <x:c r="C18" s="105"/>
      <x:c r="D18" s="105"/>
      <x:c r="E18" s="105"/>
      <x:c r="F18" s="105"/>
      <x:c r="G18" s="105"/>
      <x:c r="H18" s="105"/>
    </x:row>
    <x:row r="19" ht="27" customHeight="1">
      <x:c r="A19" s="93" t="str">
        <x:v>La lógica del proyecto avanza desde el fenómeno físico hasta la decisión de gestión: primero caracteriza probabilísticamente las crecidas y la profundidad de socavación; luego estima cómo distintas tipologías de puentes responden estructuralmente mediante modelos de elementos finitos y curvas de fragilidad; finalmente combina ambos resultados con la exposición para calcular el riesgo. La innovación radica en abandonar el escenario único de diseño y representar secuencias de crecidas, dependencia temporal, incertidumbre, erosión y relleno, así como escenarios futuros asociados a la variabilidad climática. Los documentos no identifican los dos puentes finales, el presupuesto total ni los nombres de estudiantes o expertos, porque la propuesta fue redactada bajo reglas de anonimización.</x:v>
      </x:c>
      <x:c r="B19" s="94"/>
      <x:c r="C19" s="94"/>
      <x:c r="D19" s="94"/>
      <x:c r="E19" s="94"/>
      <x:c r="F19" s="94"/>
      <x:c r="G19" s="94"/>
      <x:c r="H19" s="95"/>
    </x:row>
    <x:row r="20" ht="27" customHeight="1">
      <x:c r="A20" s="96"/>
      <x:c r="B20" s="97"/>
      <x:c r="C20" s="97"/>
      <x:c r="D20" s="97"/>
      <x:c r="E20" s="97"/>
      <x:c r="F20" s="97"/>
      <x:c r="G20" s="97"/>
      <x:c r="H20" s="98"/>
    </x:row>
    <x:row r="21" ht="27" customHeight="1">
      <x:c r="A21" s="96"/>
      <x:c r="B21" s="97"/>
      <x:c r="C21" s="97"/>
      <x:c r="D21" s="97"/>
      <x:c r="E21" s="97"/>
      <x:c r="F21" s="97"/>
      <x:c r="G21" s="97"/>
      <x:c r="H21" s="98"/>
    </x:row>
    <x:row r="22" ht="27" customHeight="1">
      <x:c r="A22" s="99"/>
      <x:c r="B22" s="100"/>
      <x:c r="C22" s="100"/>
      <x:c r="D22" s="100"/>
      <x:c r="E22" s="100"/>
      <x:c r="F22" s="100"/>
      <x:c r="G22" s="100"/>
      <x:c r="H22" s="101"/>
    </x:row>
    <x:row r="23" ht="15" hidden="0" customHeight="1">
      <x:c r="A23" s="104"/>
      <x:c r="B23" s="104"/>
      <x:c r="C23" s="104"/>
      <x:c r="D23" s="104"/>
      <x:c r="E23" s="104"/>
      <x:c r="F23" s="104"/>
      <x:c r="G23" s="104"/>
      <x:c r="H23" s="104"/>
    </x:row>
    <x:row r="24" ht="15" hidden="0" customHeight="1">
      <x:c r="A24" s="81" t="str">
        <x:v>Indicador</x:v>
      </x:c>
      <x:c r="B24" s="81" t="str">
        <x:v>Valor</x:v>
      </x:c>
      <x:c r="C24" s="81" t="str">
        <x:v>Base</x:v>
      </x:c>
      <x:c r="D24" s="81" t="str">
        <x:v>Observación</x:v>
      </x:c>
      <x:c r="E24" s="104"/>
      <x:c r="F24" s="81" t="str">
        <x:v>Estado del dato</x:v>
      </x:c>
      <x:c r="G24" s="81" t="str">
        <x:v>Uso</x:v>
      </x:c>
      <x:c r="H24" s="81" t="str">
        <x:v>Criterio</x:v>
      </x:c>
    </x:row>
    <x:row r="25" ht="34" hidden="0" customHeight="1">
      <x:c r="A25" s="82" t="str">
        <x:v>Paquetes de trabajo</x:v>
      </x:c>
      <x:c r="B25" s="102" t="n">
        <x:f>COUNTA('Metodología'!A2:A4)</x:f>
        <x:v>3</x:v>
      </x:c>
      <x:c r="C25" s="82" t="str">
        <x:v>Metodología</x:v>
      </x:c>
      <x:c r="D25" s="82" t="str">
        <x:v>WP1–WP3</x:v>
      </x:c>
      <x:c r="E25" s="104"/>
      <x:c r="F25" s="82" t="str">
        <x:v>Confirmado (PDF)</x:v>
      </x:c>
      <x:c r="G25" s="82" t="str">
        <x:v>Dato explícito</x:v>
      </x:c>
      <x:c r="H25" s="82" t="str">
        <x:v>Transcrito o resumido desde los documentos</x:v>
      </x:c>
    </x:row>
    <x:row r="26" ht="34" hidden="0" customHeight="1">
      <x:c r="A26" s="82" t="str">
        <x:v>Entregables técnicos codificados</x:v>
      </x:c>
      <x:c r="B26" s="102" t="n">
        <x:f>COUNTIF(Entregables!B2:B30,"Entregable técnico")</x:f>
        <x:v>7</x:v>
      </x:c>
      <x:c r="C26" s="82" t="str">
        <x:v>Entregables</x:v>
      </x:c>
      <x:c r="D26" s="82" t="str">
        <x:v>D1.1–D3.2</x:v>
      </x:c>
      <x:c r="E26" s="104"/>
      <x:c r="F26" s="82" t="str">
        <x:v>Confirmado (fuente pública)</x:v>
      </x:c>
      <x:c r="G26" s="82" t="str">
        <x:v>Dato externo</x:v>
      </x:c>
      <x:c r="H26" s="82" t="str">
        <x:v>Respaldado por ANID, adjudicación o CV público</x:v>
      </x:c>
    </x:row>
    <x:row r="27" ht="34" hidden="0" customHeight="1">
      <x:c r="A27" s="82" t="str">
        <x:v>Manuscritos planificados</x:v>
      </x:c>
      <x:c r="B27" s="102" t="n">
        <x:f>COUNTIF(Entregables!B2:B30,"Publicación científica")</x:f>
        <x:v>3</x:v>
      </x:c>
      <x:c r="C27" s="82" t="str">
        <x:v>Propuesta</x:v>
      </x:c>
      <x:c r="D27" s="82" t="str">
        <x:v>P1–P3, acceso abierto</x:v>
      </x:c>
      <x:c r="E27" s="104"/>
      <x:c r="F27" s="82" t="str">
        <x:v>Inferido / calculado</x:v>
      </x:c>
      <x:c r="G27" s="82" t="str">
        <x:v>Derivación</x:v>
      </x:c>
      <x:c r="H27" s="82" t="str">
        <x:v>Se explica la base del cálculo</x:v>
      </x:c>
    </x:row>
    <x:row r="28" ht="34" hidden="0" customHeight="1">
      <x:c r="A28" s="82" t="str">
        <x:v>Casos de estudio planificados</x:v>
      </x:c>
      <x:c r="B28" s="102" t="n">
        <x:v>2</x:v>
      </x:c>
      <x:c r="C28" s="82" t="str">
        <x:v>Propuesta</x:v>
      </x:c>
      <x:c r="D28" s="82" t="str">
        <x:v>Dos puentes críticos en Chile; sitios por seleccionar</x:v>
      </x:c>
      <x:c r="E28" s="104"/>
      <x:c r="F28" s="82" t="str">
        <x:v>No especificado</x:v>
      </x:c>
      <x:c r="G28" s="82" t="str">
        <x:v>Vacío documentado</x:v>
      </x:c>
      <x:c r="H28" s="82" t="str">
        <x:v>No se reemplaza con supuestos</x:v>
      </x:c>
    </x:row>
    <x:row r="29" ht="34" hidden="0" customHeight="1">
      <x:c r="A29" s="82" t="str">
        <x:v>Conferencias internacionales previstas</x:v>
      </x:c>
      <x:c r="B29" s="102" t="n">
        <x:v>4</x:v>
      </x:c>
      <x:c r="C29" s="82" t="str">
        <x:v>Propuesta</x:v>
      </x:c>
      <x:c r="D29" s="82" t="str">
        <x:v>Ejemplos: EGU y AGU</x:v>
      </x:c>
      <x:c r="E29" s="104"/>
      <x:c r="F29" s="82" t="str">
        <x:v>Precaución</x:v>
      </x:c>
      <x:c r="G29" s="82" t="str">
        <x:v>Transferencia pública</x:v>
      </x:c>
      <x:c r="H29" s="82" t="str">
        <x:v>No equivale necesariamente al presupuesto total</x:v>
      </x:c>
    </x:row>
  </x:sheetData>
  <x:mergeCells>
    <x:mergeCell ref="A1:H1"/>
    <x:mergeCell ref="A2:H2"/>
    <x:mergeCell ref="A13:H13"/>
    <x:mergeCell ref="A14:H16"/>
    <x:mergeCell ref="A18:H18"/>
    <x:mergeCell ref="A19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9" hidden="0" customWidth="1"/>
    <x:col min="3" max="3" width="18" hidden="0" customWidth="1"/>
    <x:col min="4" max="4" width="36" hidden="0" customWidth="1"/>
    <x:col min="5" max="5" width="16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Financiamiento y datos administrativos</x:v>
      </x:c>
      <x:c r="B1" s="78" t="str">
        <x:v>Financiamiento y datos administrativos</x:v>
      </x:c>
      <x:c r="C1" s="78" t="str">
        <x:v>Financiamiento y datos administrativos</x:v>
      </x:c>
      <x:c r="D1" s="78" t="str">
        <x:v>Financiamiento y datos administrativos</x:v>
      </x:c>
      <x:c r="E1" s="78" t="str">
        <x:v>Financiamiento y datos administrativos</x:v>
      </x:c>
      <x:c r="F1" s="78" t="str">
        <x:v>Financiamiento y datos administrativos</x:v>
      </x:c>
      <x:c r="G1" s="78" t="str">
        <x:v>Financiamiento y datos administrativos</x:v>
      </x:c>
      <x:c r="H1" s="78" t="str">
        <x:v>Financiamiento y datos administrativos</x:v>
      </x:c>
    </x:row>
    <x:row r="2" ht="15" hidden="0" customHeight="1">
      <x:c r="A2" s="79" t="str">
        <x:v>Campos solicitados y nivel de respaldo documental.</x:v>
      </x:c>
      <x:c r="B2" s="79" t="str">
        <x:v>Campos solicitados y nivel de respaldo documental.</x:v>
      </x:c>
      <x:c r="C2" s="79" t="str">
        <x:v>Campos solicitados y nivel de respaldo documental.</x:v>
      </x:c>
      <x:c r="D2" s="79" t="str">
        <x:v>Campos solicitados y nivel de respaldo documental.</x:v>
      </x:c>
      <x:c r="E2" s="79" t="str">
        <x:v>Campos solicitados y nivel de respaldo documental.</x:v>
      </x:c>
      <x:c r="F2" s="79" t="str">
        <x:v>Campos solicitados y nivel de respaldo documental.</x:v>
      </x:c>
      <x:c r="G2" s="79" t="str">
        <x:v>Campos solicitados y nivel de respaldo documental.</x:v>
      </x:c>
      <x:c r="H2" s="79" t="str">
        <x:v>Campos solicitados y nivel de respaldo documental.</x:v>
      </x:c>
    </x:row>
    <x:row r="3" ht="15" hidden="0" customHeight="1">
      <x:c r="A3" s="81" t="str">
        <x:v>Campo</x:v>
      </x:c>
      <x:c r="B3" s="81" t="str">
        <x:v>Valor</x:v>
      </x:c>
      <x:c r="C3" s="81" t="str">
        <x:v>Estado</x:v>
      </x:c>
      <x:c r="D3" s="81" t="str">
        <x:v>Observación / criterio</x:v>
      </x:c>
      <x:c r="E3" s="81" t="str">
        <x:v>Fuente</x:v>
      </x:c>
      <x:c r="F3" s="80"/>
      <x:c r="G3" s="80"/>
      <x:c r="H3" s="80"/>
    </x:row>
    <x:row r="4" ht="62" hidden="0" customHeight="1">
      <x:c r="A4" s="82" t="str">
        <x:v>Funding Agency</x:v>
      </x:c>
      <x:c r="B4" s="82" t="str">
        <x:v>Agencia Nacional de Investigación y Desarrollo (ANID), Ministerio de Ciencia, Tecnología, Conocimiento e Innovación de Chile</x:v>
      </x:c>
      <x:c r="C4" s="82" t="str">
        <x:v>Confirmado (fuente pública)</x:v>
      </x:c>
      <x:c r="D4" s="82" t="str">
        <x:v>La financiación se reconoce públicamente como apoyo ANID.</x:v>
      </x:c>
      <x:c r="E4" s="82" t="str">
        <x:v>F3; F4; F8</x:v>
      </x:c>
      <x:c r="F4" s="80"/>
      <x:c r="G4" s="80"/>
      <x:c r="H4" s="80"/>
    </x:row>
    <x:row r="5" ht="34" hidden="0" customHeight="1">
      <x:c r="A5" s="82" t="str">
        <x:v>Grant ID</x:v>
      </x:c>
      <x:c r="B5" s="82" t="str">
        <x:v>11240171</x:v>
      </x:c>
      <x:c r="C5" s="82" t="str">
        <x:v>Confirmado (fuente pública)</x:v>
      </x:c>
      <x:c r="D5" s="82" t="str">
        <x:v>Número de proyecto FONDECYT Iniciación.</x:v>
      </x:c>
      <x:c r="E5" s="82" t="str">
        <x:v>F3; F4; F5; F6</x:v>
      </x:c>
      <x:c r="F5" s="80"/>
      <x:c r="G5" s="80"/>
      <x:c r="H5" s="80"/>
    </x:row>
    <x:row r="6" ht="48" hidden="0" customHeight="1">
      <x:c r="A6" s="82" t="str">
        <x:v>Instrument</x:v>
      </x:c>
      <x:c r="B6" s="82" t="str">
        <x:v>FONDECYT de Iniciación en Investigación 2024 — Grupo Ingeniería 1</x:v>
      </x:c>
      <x:c r="C6" s="82" t="str">
        <x:v>Confirmado (fuente pública)</x:v>
      </x:c>
      <x:c r="D6" s="82" t="str">
        <x:v>El PDF local identifica el concurso; la nómina pública confirma instrumento y grupo.</x:v>
      </x:c>
      <x:c r="E6" s="82" t="str">
        <x:v>F1; F2; F3</x:v>
      </x:c>
      <x:c r="F6" s="80"/>
      <x:c r="G6" s="80"/>
      <x:c r="H6" s="80"/>
    </x:row>
    <x:row r="7" ht="48" hidden="0" customHeight="1">
      <x:c r="A7" s="82" t="str">
        <x:v>Total Funding</x:v>
      </x:c>
      <x:c r="B7" s="82" t="str">
        <x:v>No especificado en los PDF ni localizado como total consolidado en las fuentes públicas consultadas</x:v>
      </x:c>
      <x:c r="C7" s="82" t="str">
        <x:v>No especificado</x:v>
      </x:c>
      <x:c r="D7" s="82" t="str">
        <x:v>No confundir con transferencias parciales registradas por año.</x:v>
      </x:c>
      <x:c r="E7" s="82" t="str">
        <x:v>F1; F2; F7</x:v>
      </x:c>
      <x:c r="F7" s="80"/>
      <x:c r="G7" s="80"/>
      <x:c r="H7" s="80"/>
    </x:row>
    <x:row r="8" ht="70" hidden="0" customHeight="1">
      <x:c r="A8" s="82" t="str">
        <x:v>Andes University Share</x:v>
      </x:c>
      <x:c r="B8" s="82" t="str">
        <x:v>No aplica / no especificado</x:v>
      </x:c>
      <x:c r="C8" s="82" t="str">
        <x:v>No especificado</x:v>
      </x:c>
      <x:c r="D8" s="82" t="str">
        <x:v>La institución adjudicataria en 2024 fue Universidad Diego Portales, no Universidad de los Andes. No se encontró aporte institucional desagregado.</x:v>
      </x:c>
      <x:c r="E8" s="82" t="str">
        <x:v>F3; F6</x:v>
      </x:c>
      <x:c r="F8" s="80"/>
      <x:c r="G8" s="80"/>
      <x:c r="H8" s="80"/>
    </x:row>
    <x:row r="9" ht="34" hidden="0" customHeight="1">
      <x:c r="A9" s="82" t="str">
        <x:v>Start Date</x:v>
      </x:c>
      <x:c r="B9" s="82" t="str">
        <x:v>Marzo de 2024</x:v>
      </x:c>
      <x:c r="C9" s="82" t="str">
        <x:v>Confirmado (PDF)</x:v>
      </x:c>
      <x:c r="D9" s="82" t="str">
        <x:v>Fecha de inicio prevista en el plan de trabajo.</x:v>
      </x:c>
      <x:c r="E9" s="82" t="str">
        <x:v>F2 p. 8</x:v>
      </x:c>
      <x:c r="F9" s="80"/>
      <x:c r="G9" s="80"/>
      <x:c r="H9" s="80"/>
    </x:row>
    <x:row r="10" ht="58" hidden="0" customHeight="1">
      <x:c r="A10" s="82" t="str">
        <x:v>End Date</x:v>
      </x:c>
      <x:c r="B10" s="82" t="str">
        <x:v>Febrero de 2027</x:v>
      </x:c>
      <x:c r="C10" s="82" t="str">
        <x:v>Inferido / calculado</x:v>
      </x:c>
      <x:c r="D10" s="82" t="str">
        <x:v>Inicio en marzo de 2024 + duración declarada de tres años; fuentes públicas presentan el proyecto como 2024–2027.</x:v>
      </x:c>
      <x:c r="E10" s="82" t="str">
        <x:v>F2 pp. 7–9; F6</x:v>
      </x:c>
      <x:c r="F10" s="80"/>
      <x:c r="G10" s="80"/>
      <x:c r="H10" s="80"/>
    </x:row>
    <x:row r="11" ht="58" hidden="0" customHeight="1">
      <x:c r="A11" s="82" t="str">
        <x:v>Institución patrocinante/adjudicataria</x:v>
      </x:c>
      <x:c r="B11" s="82" t="str">
        <x:v>Universidad Diego Portales</x:v>
      </x:c>
      <x:c r="C11" s="82" t="str">
        <x:v>Confirmado (fuente pública)</x:v>
      </x:c>
      <x:c r="D11" s="82" t="str">
        <x:v>Institución consignada en la nómina de proyectos seleccionados.</x:v>
      </x:c>
      <x:c r="E11" s="82" t="str">
        <x:v>F3; F6</x:v>
      </x:c>
      <x:c r="F11" s="80"/>
      <x:c r="G11" s="80"/>
      <x:c r="H11" s="80"/>
    </x:row>
    <x:row r="12" ht="58" hidden="0" customHeight="1">
      <x:c r="A12" s="82" t="str">
        <x:v>Transferencia pública localizada</x:v>
      </x:c>
      <x:c r="B12" s="82" t="str">
        <x:v>CLP 4.670.000 (registro de transferencia 2025)</x:v>
      </x:c>
      <x:c r="C12" s="82" t="str">
        <x:v>Precaución</x:v>
      </x:c>
      <x:c r="D12" s="82" t="str">
        <x:v>Registro público a Universidad Diego Portales asociado al proyecto 11240171; no prueba el presupuesto total ni la suma acumulada del proyecto.</x:v>
      </x:c>
      <x:c r="E12" s="82" t="str">
        <x:v>F7</x:v>
      </x:c>
      <x:c r="F12" s="80"/>
      <x:c r="G12" s="80"/>
      <x:c r="H12" s="80"/>
    </x:row>
  </x:sheetData>
  <x:mergeCells>
    <x:mergeCell ref="A1:H1"/>
    <x:mergeCell ref="A2:H2"/>
  </x:mergeCells>
  <x:conditionalFormatting sqref="C4:C12">
    <x:cfRule type="containsText" dxfId="0" priority="1" operator="containsText" text="Confirmado"/>
    <x:cfRule type="containsText" dxfId="1" priority="2" operator="containsText" text="No especificado"/>
    <x:cfRule type="containsText" dxfId="2" priority="3" operator="containsText" text="Precaución"/>
  </x:conditionalFormatting>
  <x:pageMargins left="0.7" right="0.7" top="0.75" bottom="0.75" header="0.3" footer="0.3"/>
  <x:tableParts count="1">
    <x:tablePart xmlns:r="http://schemas.openxmlformats.org/officeDocument/2006/relationships" r:id="R4be6db0d0cb04fe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24" hidden="0" customWidth="1"/>
    <x:col min="3" max="3" width="28" hidden="0" customWidth="1"/>
    <x:col min="4" max="4" width="24" hidden="0" customWidth="1"/>
    <x:col min="5" max="5" width="45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Equipo, colaboración y actores relacionados</x:v>
      </x:c>
      <x:c r="B1" s="78" t="str">
        <x:v>Equipo, colaboración y actores relacionados</x:v>
      </x:c>
      <x:c r="C1" s="78" t="str">
        <x:v>Equipo, colaboración y actores relacionados</x:v>
      </x:c>
      <x:c r="D1" s="78" t="str">
        <x:v>Equipo, colaboración y actores relacionados</x:v>
      </x:c>
      <x:c r="E1" s="78" t="str">
        <x:v>Equipo, colaboración y actores relacionados</x:v>
      </x:c>
      <x:c r="F1" s="78" t="str">
        <x:v>Equipo, colaboración y actores relacionados</x:v>
      </x:c>
      <x:c r="G1" s="78" t="str">
        <x:v>Equipo, colaboración y actores relacionados</x:v>
      </x:c>
      <x:c r="H1" s="78" t="str">
        <x:v>Equipo, colaboración y actores relacionados</x:v>
      </x:c>
    </x:row>
    <x:row r="2" ht="15" hidden="0" customHeight="1">
      <x:c r="A2" s="79" t="str">
        <x:v>Se distinguen personas confirmadas, perfiles previstos y entidades receptoras de resultados.</x:v>
      </x:c>
      <x:c r="B2" s="79" t="str">
        <x:v>Se distinguen personas confirmadas, perfiles previstos y entidades receptoras de resultados.</x:v>
      </x:c>
      <x:c r="C2" s="79" t="str">
        <x:v>Se distinguen personas confirmadas, perfiles previstos y entidades receptoras de resultados.</x:v>
      </x:c>
      <x:c r="D2" s="79" t="str">
        <x:v>Se distinguen personas confirmadas, perfiles previstos y entidades receptoras de resultados.</x:v>
      </x:c>
      <x:c r="E2" s="79" t="str">
        <x:v>Se distinguen personas confirmadas, perfiles previstos y entidades receptoras de resultados.</x:v>
      </x:c>
      <x:c r="F2" s="79" t="str">
        <x:v>Se distinguen personas confirmadas, perfiles previstos y entidades receptoras de resultados.</x:v>
      </x:c>
      <x:c r="G2" s="79" t="str">
        <x:v>Se distinguen personas confirmadas, perfiles previstos y entidades receptoras de resultados.</x:v>
      </x:c>
      <x:c r="H2" s="79" t="str">
        <x:v>Se distinguen personas confirmadas, perfiles previstos y entidades receptoras de resultados.</x:v>
      </x:c>
    </x:row>
    <x:row r="3" ht="15" hidden="0" customHeight="1">
      <x:c r="A3" s="81" t="str">
        <x:v>Persona / entidad</x:v>
      </x:c>
      <x:c r="B3" s="81" t="str">
        <x:v>Tipo</x:v>
      </x:c>
      <x:c r="C3" s="81" t="str">
        <x:v>Rol</x:v>
      </x:c>
      <x:c r="D3" s="81" t="str">
        <x:v>Institución</x:v>
      </x:c>
      <x:c r="E3" s="81" t="str">
        <x:v>Participación descrita</x:v>
      </x:c>
      <x:c r="F3" s="81" t="str">
        <x:v>Identificación</x:v>
      </x:c>
      <x:c r="G3" s="81" t="str">
        <x:v>Fuente</x:v>
      </x:c>
      <x:c r="H3" s="80"/>
    </x:row>
    <x:row r="4" ht="50" hidden="0" customHeight="1">
      <x:c r="A4" s="82" t="str">
        <x:v>Alonso Pizarro Valdebenito</x:v>
      </x:c>
      <x:c r="B4" s="82" t="str">
        <x:v>Equipo de investigación</x:v>
      </x:c>
      <x:c r="C4" s="82" t="str">
        <x:v>Investigador Principal</x:v>
      </x:c>
      <x:c r="D4" s="82" t="str">
        <x:v>Universidad Diego Portales (adjudicación 2024)</x:v>
      </x:c>
      <x:c r="E4" s="82" t="str">
        <x:v>Dirección científica y administrativa; experiencia en hidrología, ingeniería hidráulica y evaluación de riesgo.</x:v>
      </x:c>
      <x:c r="F4" s="82" t="str">
        <x:v>Confirmado (fuente pública)</x:v>
      </x:c>
      <x:c r="G4" s="82" t="str">
        <x:v>F3; F4; F6</x:v>
      </x:c>
      <x:c r="H4" s="80"/>
    </x:row>
    <x:row r="5" ht="50" hidden="0" customHeight="1">
      <x:c r="A5" s="82" t="str">
        <x:v>1 estudiante de posgrado o 2 de pregrado — WP1</x:v>
      </x:c>
      <x:c r="B5" s="82" t="str">
        <x:v>Formación / apoyo de investigación</x:v>
      </x:c>
      <x:c r="C5" s="82" t="str">
        <x:v>Modelación de peligro de crecida y socavación</x:v>
      </x:c>
      <x:c r="D5" s="82" t="str">
        <x:v>Institución patrocinante</x:v>
      </x:c>
      <x:c r="E5" s="82" t="str">
        <x:v>Apoyo a selección de casos, modelación de crecidas y cálculo probabilístico de socavación.</x:v>
      </x:c>
      <x:c r="F5" s="82" t="str">
        <x:v>Nombres no especificados</x:v>
      </x:c>
      <x:c r="G5" s="82" t="str">
        <x:v>F2 pp. 5–6</x:v>
      </x:c>
      <x:c r="H5" s="80"/>
    </x:row>
    <x:row r="6" ht="50" hidden="0" customHeight="1">
      <x:c r="A6" s="82" t="str">
        <x:v>1 estudiante de posgrado o 2 de pregrado — WP2</x:v>
      </x:c>
      <x:c r="B6" s="82" t="str">
        <x:v>Formación / apoyo de investigación</x:v>
      </x:c>
      <x:c r="C6" s="82" t="str">
        <x:v>Vulnerabilidad estructural</x:v>
      </x:c>
      <x:c r="D6" s="82" t="str">
        <x:v>Institución patrocinante</x:v>
      </x:c>
      <x:c r="E6" s="82" t="str">
        <x:v>Modelos de elementos finitos, curvas de fragilidad y evaluación de casos de estudio.</x:v>
      </x:c>
      <x:c r="F6" s="82" t="str">
        <x:v>Nombres no especificados</x:v>
      </x:c>
      <x:c r="G6" s="82" t="str">
        <x:v>F2 pp. 5–6</x:v>
      </x:c>
      <x:c r="H6" s="80"/>
    </x:row>
    <x:row r="7" ht="50" hidden="0" customHeight="1">
      <x:c r="A7" s="82" t="str">
        <x:v>1 estudiante de posgrado o 2 de pregrado — WP3</x:v>
      </x:c>
      <x:c r="B7" s="82" t="str">
        <x:v>Formación / apoyo de investigación</x:v>
      </x:c>
      <x:c r="C7" s="82" t="str">
        <x:v>Evaluación probabilística del riesgo</x:v>
      </x:c>
      <x:c r="D7" s="82" t="str">
        <x:v>Institución patrocinante</x:v>
      </x:c>
      <x:c r="E7" s="82" t="str">
        <x:v>Integración de peligro, vulnerabilidad y exposición; análisis de series de socavación.</x:v>
      </x:c>
      <x:c r="F7" s="82" t="str">
        <x:v>Nombres no especificados</x:v>
      </x:c>
      <x:c r="G7" s="82" t="str">
        <x:v>F2 p. 6</x:v>
      </x:c>
      <x:c r="H7" s="80"/>
    </x:row>
    <x:row r="8" ht="50" hidden="0" customHeight="1">
      <x:c r="A8" s="82" t="str">
        <x:v>Experto internacional en análisis de crecidas y peligro</x:v>
      </x:c>
      <x:c r="B8" s="82" t="str">
        <x:v>Colaboración internacional</x:v>
      </x:c>
      <x:c r="C8" s="82" t="str">
        <x:v>Visita al inicio del año 2</x:v>
      </x:c>
      <x:c r="D8" s="82" t="str">
        <x:v>No especificada</x:v>
      </x:c>
      <x:c r="E8" s="82" t="str">
        <x:v>Clase especial, cooperación y preparación conjunta del primer artículo.</x:v>
      </x:c>
      <x:c r="F8" s="82" t="str">
        <x:v>Nombre no especificado</x:v>
      </x:c>
      <x:c r="G8" s="82" t="str">
        <x:v>F2 p. 5</x:v>
      </x:c>
      <x:c r="H8" s="80"/>
    </x:row>
    <x:row r="9" ht="50" hidden="0" customHeight="1">
      <x:c r="A9" s="82" t="str">
        <x:v>Experto internacional en análisis estructural, socavación y riesgo</x:v>
      </x:c>
      <x:c r="B9" s="82" t="str">
        <x:v>Colaboración internacional</x:v>
      </x:c>
      <x:c r="C9" s="82" t="str">
        <x:v>Visita al final del año 3</x:v>
      </x:c>
      <x:c r="D9" s="82" t="str">
        <x:v>No especificada</x:v>
      </x:c>
      <x:c r="E9" s="82" t="str">
        <x:v>Participación en seminario final, clase especial y preparación conjunta del tercer artículo.</x:v>
      </x:c>
      <x:c r="F9" s="82" t="str">
        <x:v>Nombre no especificado</x:v>
      </x:c>
      <x:c r="G9" s="82" t="str">
        <x:v>F2 pp. 5–7</x:v>
      </x:c>
      <x:c r="H9" s="80"/>
    </x:row>
    <x:row r="10" ht="50" hidden="0" customHeight="1">
      <x:c r="A10" s="82" t="str">
        <x:v>ANID</x:v>
      </x:c>
      <x:c r="B10" s="82" t="str">
        <x:v>Financiador / receptor</x:v>
      </x:c>
      <x:c r="C10" s="82" t="str">
        <x:v>Agencia financiadora</x:v>
      </x:c>
      <x:c r="D10" s="82" t="str">
        <x:v>Gobierno de Chile</x:v>
      </x:c>
      <x:c r="E10" s="82" t="str">
        <x:v>Recibirá el informe ejecutivo y respalda el instrumento FONDECYT.</x:v>
      </x:c>
      <x:c r="F10" s="82" t="str">
        <x:v>Confirmado</x:v>
      </x:c>
      <x:c r="G10" s="82" t="str">
        <x:v>F2 p. 6; F3; F4</x:v>
      </x:c>
      <x:c r="H10" s="80"/>
    </x:row>
    <x:row r="11" ht="50" hidden="0" customHeight="1">
      <x:c r="A11" s="82" t="str">
        <x:v>Ministerio de Obras Públicas de Chile</x:v>
      </x:c>
      <x:c r="B11" s="82" t="str">
        <x:v>Actor público / usuario potencial</x:v>
      </x:c>
      <x:c r="C11" s="82" t="str">
        <x:v>Gestión de puentes</x:v>
      </x:c>
      <x:c r="D11" s="82" t="str">
        <x:v>Gobierno de Chile</x:v>
      </x:c>
      <x:c r="E11" s="82" t="str">
        <x:v>Recibirá el informe ejecutivo; destinatario de recomendaciones para gestión de riesgo de puentes.</x:v>
      </x:c>
      <x:c r="F11" s="82" t="str">
        <x:v>Confirmado (PDF)</x:v>
      </x:c>
      <x:c r="G11" s="82" t="str">
        <x:v>F2 pp. 6–7</x:v>
      </x:c>
      <x:c r="H11" s="80"/>
    </x:row>
    <x:row r="12" ht="50" hidden="0" customHeight="1">
      <x:c r="A12" s="82" t="str">
        <x:v>Agencias de gestión de puentes</x:v>
      </x:c>
      <x:c r="B12" s="82" t="str">
        <x:v>Usuarios / stakeholders</x:v>
      </x:c>
      <x:c r="C12" s="82" t="str">
        <x:v>Aplicación de resultados</x:v>
      </x:c>
      <x:c r="D12" s="82" t="str">
        <x:v>Chile</x:v>
      </x:c>
      <x:c r="E12" s="82" t="str">
        <x:v>Receptoras de la comunicación del riesgo y potenciales usuarias del marco para priorizar mitigación.</x:v>
      </x:c>
      <x:c r="F12" s="82" t="str">
        <x:v>Genérico en la propuesta</x:v>
      </x:c>
      <x:c r="G12" s="82" t="str">
        <x:v>F2 pp. 4, 6</x:v>
      </x:c>
      <x:c r="H12" s="8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f409d5f2db241b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31" hidden="0" customWidth="1"/>
    <x:col min="3" max="3" width="48" hidden="0" customWidth="1"/>
    <x:col min="4" max="4" width="27" hidden="0" customWidth="1"/>
    <x:col min="5" max="5" width="27" hidden="0" customWidth="1"/>
    <x:col min="6" max="6" width="27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Casos de estudio y contexto territorial</x:v>
      </x:c>
      <x:c r="B1" s="78" t="str">
        <x:v>Casos de estudio y contexto territorial</x:v>
      </x:c>
      <x:c r="C1" s="78" t="str">
        <x:v>Casos de estudio y contexto territorial</x:v>
      </x:c>
      <x:c r="D1" s="78" t="str">
        <x:v>Casos de estudio y contexto territorial</x:v>
      </x:c>
      <x:c r="E1" s="78" t="str">
        <x:v>Casos de estudio y contexto territorial</x:v>
      </x:c>
      <x:c r="F1" s="78" t="str">
        <x:v>Casos de estudio y contexto territorial</x:v>
      </x:c>
      <x:c r="G1" s="78" t="str">
        <x:v>Casos de estudio y contexto territorial</x:v>
      </x:c>
      <x:c r="H1" s="78" t="str">
        <x:v>Casos de estudio y contexto territorial</x:v>
      </x:c>
    </x:row>
    <x:row r="2" ht="15" hidden="0" customHeight="1">
      <x:c r="A2" s="79" t="str">
        <x:v>La propuesta contempla dos puentes críticos, pero no fija sus nombres en los PDF.</x:v>
      </x:c>
      <x:c r="B2" s="79" t="str">
        <x:v>La propuesta contempla dos puentes críticos, pero no fija sus nombres en los PDF.</x:v>
      </x:c>
      <x:c r="C2" s="79" t="str">
        <x:v>La propuesta contempla dos puentes críticos, pero no fija sus nombres en los PDF.</x:v>
      </x:c>
      <x:c r="D2" s="79" t="str">
        <x:v>La propuesta contempla dos puentes críticos, pero no fija sus nombres en los PDF.</x:v>
      </x:c>
      <x:c r="E2" s="79" t="str">
        <x:v>La propuesta contempla dos puentes críticos, pero no fija sus nombres en los PDF.</x:v>
      </x:c>
      <x:c r="F2" s="79" t="str">
        <x:v>La propuesta contempla dos puentes críticos, pero no fija sus nombres en los PDF.</x:v>
      </x:c>
      <x:c r="G2" s="79" t="str">
        <x:v>La propuesta contempla dos puentes críticos, pero no fija sus nombres en los PDF.</x:v>
      </x:c>
      <x:c r="H2" s="79" t="str">
        <x:v>La propuesta contempla dos puentes críticos, pero no fija sus nombres en los PDF.</x:v>
      </x:c>
    </x:row>
    <x:row r="3" ht="15" hidden="0" customHeight="1">
      <x:c r="A3" s="81" t="str">
        <x:v>Categoría</x:v>
      </x:c>
      <x:c r="B3" s="81" t="str">
        <x:v>Caso / ubicación</x:v>
      </x:c>
      <x:c r="C3" s="81" t="str">
        <x:v>Descripción</x:v>
      </x:c>
      <x:c r="D3" s="81" t="str">
        <x:v>Criterio / problema</x:v>
      </x:c>
      <x:c r="E3" s="81" t="str">
        <x:v>Variables o análisis</x:v>
      </x:c>
      <x:c r="F3" s="81" t="str">
        <x:v>Uso esperado</x:v>
      </x:c>
      <x:c r="G3" s="81" t="str">
        <x:v>Fuente</x:v>
      </x:c>
      <x:c r="H3" s="80"/>
    </x:row>
    <x:row r="4" ht="72" hidden="0" customHeight="1">
      <x:c r="A4" s="82" t="str">
        <x:v>Casos planificados</x:v>
      </x:c>
      <x:c r="B4" s="82" t="str">
        <x:v>Dos puentes críticos en Chile — por seleccionar</x:v>
      </x:c>
      <x:c r="C4" s="82" t="str">
        <x:v>Puentes con propiedades distintas, tratados como casos numéricos.</x:v>
      </x:c>
      <x:c r="D4" s="82" t="str">
        <x:v>Importancia, disponibilidad de datos, edad del puente y nivel de incertidumbre de condición.</x:v>
      </x:c>
      <x:c r="E4" s="82" t="str">
        <x:v>Caudales, cargas hidráulicas, geometría y propiedades estructurales, socavación, peligro, vulnerabilidad y exposición.</x:v>
      </x:c>
      <x:c r="F4" s="82" t="str">
        <x:v>Validar y demostrar el marco probabilístico; producir peligro, vulnerabilidad y riesgo para cada caso.</x:v>
      </x:c>
      <x:c r="G4" s="82" t="str">
        <x:v>F2 pp. 5–6</x:v>
      </x:c>
      <x:c r="H4" s="80"/>
    </x:row>
    <x:row r="5" ht="46" hidden="0" customHeight="1">
      <x:c r="A5" s="82" t="str">
        <x:v>Ejemplo de colapso / afectación</x:v>
      </x:c>
      <x:c r="B5" s="82" t="str">
        <x:v>Puente ferroviario Concepción–San Pedro de la Paz, Biobío</x:v>
      </x:c>
      <x:c r="C5" s="82" t="str">
        <x:v>Problemas en pilas, interrupción de conexión ferroviaria y aumento del tráfico en puentes adyacentes.</x:v>
      </x:c>
      <x:c r="D5" s="82" t="str">
        <x:v>Socavación y continuidad operativa.</x:v>
      </x:c>
      <x:c r="E5" s="82" t="str">
        <x:v>No se identifica como caso definitivo.</x:v>
      </x:c>
      <x:c r="F5" s="82" t="str">
        <x:v>Contexto y motivación para selección de casos.</x:v>
      </x:c>
      <x:c r="G5" s="82" t="str">
        <x:v>F2 p. 2</x:v>
      </x:c>
      <x:c r="H5" s="80"/>
    </x:row>
    <x:row r="6" ht="46" hidden="0" customHeight="1">
      <x:c r="A6" s="82" t="str">
        <x:v>Ejemplo de colapso</x:v>
      </x:c>
      <x:c r="B6" s="82" t="str">
        <x:v>Puente Cancura (2018)</x:v>
      </x:c>
      <x:c r="C6" s="82" t="str">
        <x:v>Colapso con una víctima fatal y seis personas gravemente heridas.</x:v>
      </x:c>
      <x:c r="D6" s="82" t="str">
        <x:v>Consecuencias humanas de fallas asociadas a crecidas/socavación.</x:v>
      </x:c>
      <x:c r="E6" s="82" t="str">
        <x:v>No se identifica como caso definitivo.</x:v>
      </x:c>
      <x:c r="F6" s="82" t="str">
        <x:v>Contexto de riesgo nacional.</x:v>
      </x:c>
      <x:c r="G6" s="82" t="str">
        <x:v>F2 p. 2</x:v>
      </x:c>
      <x:c r="H6" s="80"/>
    </x:row>
    <x:row r="7" ht="46" hidden="0" customHeight="1">
      <x:c r="A7" s="82" t="str">
        <x:v>Ejemplo de colapso</x:v>
      </x:c>
      <x:c r="B7" s="82" t="str">
        <x:v>Puente ferroviario Pitrufquén (2016)</x:v>
      </x:c>
      <x:c r="C7" s="82" t="str">
        <x:v>Colapso que involucró un tren de carga.</x:v>
      </x:c>
      <x:c r="D7" s="82" t="str">
        <x:v>Riesgo de infraestructura ferroviaria.</x:v>
      </x:c>
      <x:c r="E7" s="82" t="str">
        <x:v>No se identifica como caso definitivo.</x:v>
      </x:c>
      <x:c r="F7" s="82" t="str">
        <x:v>Contexto de riesgo nacional.</x:v>
      </x:c>
      <x:c r="G7" s="82" t="str">
        <x:v>F2 p. 2</x:v>
      </x:c>
      <x:c r="H7" s="80"/>
    </x:row>
    <x:row r="8" ht="46" hidden="0" customHeight="1">
      <x:c r="A8" s="82" t="str">
        <x:v>Ejemplo de alto riesgo</x:v>
      </x:c>
      <x:c r="B8" s="82" t="str">
        <x:v>Puente Confluencia</x:v>
      </x:c>
      <x:c r="C8" s="82" t="str">
        <x:v>Presentado como puente chileno con alto riesgo de socavación sin colapso reportado en el documento.</x:v>
      </x:c>
      <x:c r="D8" s="82" t="str">
        <x:v>Condición de riesgo por socavación.</x:v>
      </x:c>
      <x:c r="E8" s="82" t="str">
        <x:v>No se identifica como caso definitivo.</x:v>
      </x:c>
      <x:c r="F8" s="82" t="str">
        <x:v>Posible referencia para priorización.</x:v>
      </x:c>
      <x:c r="G8" s="82" t="str">
        <x:v>F2 p. 2</x:v>
      </x:c>
      <x:c r="H8" s="80"/>
    </x:row>
    <x:row r="9" ht="46" hidden="0" customHeight="1">
      <x:c r="A9" s="82" t="str">
        <x:v>Ejemplo de alto riesgo</x:v>
      </x:c>
      <x:c r="B9" s="82" t="str">
        <x:v>Puente Teno</x:v>
      </x:c>
      <x:c r="C9" s="82" t="str">
        <x:v>Presentado como puente chileno con alto riesgo de socavación.</x:v>
      </x:c>
      <x:c r="D9" s="82" t="str">
        <x:v>Condición de riesgo por socavación.</x:v>
      </x:c>
      <x:c r="E9" s="82" t="str">
        <x:v>No se identifica como caso definitivo.</x:v>
      </x:c>
      <x:c r="F9" s="82" t="str">
        <x:v>Posible referencia para priorización.</x:v>
      </x:c>
      <x:c r="G9" s="82" t="str">
        <x:v>F2 p. 2</x:v>
      </x:c>
      <x:c r="H9" s="80"/>
    </x:row>
    <x:row r="10" ht="46" hidden="0" customHeight="1">
      <x:c r="A10" s="82" t="str">
        <x:v>Ejemplo de alto riesgo</x:v>
      </x:c>
      <x:c r="B10" s="82" t="str">
        <x:v>Puente Altovalsol</x:v>
      </x:c>
      <x:c r="C10" s="82" t="str">
        <x:v>Presentado como puente chileno con alto riesgo de socavación.</x:v>
      </x:c>
      <x:c r="D10" s="82" t="str">
        <x:v>Condición de riesgo por socavación.</x:v>
      </x:c>
      <x:c r="E10" s="82" t="str">
        <x:v>No se identifica como caso definitivo.</x:v>
      </x:c>
      <x:c r="F10" s="82" t="str">
        <x:v>Posible referencia para priorización.</x:v>
      </x:c>
      <x:c r="G10" s="82" t="str">
        <x:v>F2 p. 2</x:v>
      </x:c>
      <x:c r="H10" s="80"/>
    </x:row>
    <x:row r="11" ht="46" hidden="0" customHeight="1">
      <x:c r="A11" s="82" t="str">
        <x:v>Plan de contingencia</x:v>
      </x:c>
      <x:c r="B11" s="82" t="str">
        <x:v>Si no se encuentran dos casos críticos</x:v>
      </x:c>
      <x:c r="C11" s="82" t="str">
        <x:v>Reducir a un caso, usar un caso numérico simplificado o seleccionar otro caso.</x:v>
      </x:c>
      <x:c r="D11" s="82" t="str">
        <x:v>Riesgo de disponibilidad/calidad de datos.</x:v>
      </x:c>
      <x:c r="E11" s="82" t="str">
        <x:v>Revisión de criterios de selección.</x:v>
      </x:c>
      <x:c r="F11" s="82" t="str">
        <x:v>Mantener viabilidad metodológica.</x:v>
      </x:c>
      <x:c r="G11" s="82" t="str">
        <x:v>F2 p. 8</x:v>
      </x:c>
      <x:c r="H11" s="8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ed607bed6b1e49d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47" hidden="0" customWidth="1"/>
    <x:col min="4" max="4" width="44" hidden="0" customWidth="1"/>
    <x:col min="5" max="5" width="43" hidden="0" customWidth="1"/>
    <x:col min="6" max="6" width="22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Metodología por paquetes de trabajo</x:v>
      </x:c>
      <x:c r="B1" s="78" t="str">
        <x:v>Metodología por paquetes de trabajo</x:v>
      </x:c>
      <x:c r="C1" s="78" t="str">
        <x:v>Metodología por paquetes de trabajo</x:v>
      </x:c>
      <x:c r="D1" s="78" t="str">
        <x:v>Metodología por paquetes de trabajo</x:v>
      </x:c>
      <x:c r="E1" s="78" t="str">
        <x:v>Metodología por paquetes de trabajo</x:v>
      </x:c>
      <x:c r="F1" s="78" t="str">
        <x:v>Metodología por paquetes de trabajo</x:v>
      </x:c>
      <x:c r="G1" s="78" t="str">
        <x:v>Metodología por paquetes de trabajo</x:v>
      </x:c>
      <x:c r="H1" s="78" t="str">
        <x:v>Metodología por paquetes de trabajo</x:v>
      </x:c>
    </x:row>
    <x:row r="2" ht="15" hidden="0" customHeight="1">
      <x:c r="A2" s="79" t="str">
        <x:v>Secuencia: peligro de crecida y socavación → vulnerabilidad estructural → riesgo.</x:v>
      </x:c>
      <x:c r="B2" s="79" t="str">
        <x:v>Secuencia: peligro de crecida y socavación → vulnerabilidad estructural → riesgo.</x:v>
      </x:c>
      <x:c r="C2" s="79" t="str">
        <x:v>Secuencia: peligro de crecida y socavación → vulnerabilidad estructural → riesgo.</x:v>
      </x:c>
      <x:c r="D2" s="79" t="str">
        <x:v>Secuencia: peligro de crecida y socavación → vulnerabilidad estructural → riesgo.</x:v>
      </x:c>
      <x:c r="E2" s="79" t="str">
        <x:v>Secuencia: peligro de crecida y socavación → vulnerabilidad estructural → riesgo.</x:v>
      </x:c>
      <x:c r="F2" s="79" t="str">
        <x:v>Secuencia: peligro de crecida y socavación → vulnerabilidad estructural → riesgo.</x:v>
      </x:c>
      <x:c r="G2" s="79" t="str">
        <x:v>Secuencia: peligro de crecida y socavación → vulnerabilidad estructural → riesgo.</x:v>
      </x:c>
      <x:c r="H2" s="79" t="str">
        <x:v>Secuencia: peligro de crecida y socavación → vulnerabilidad estructural → riesgo.</x:v>
      </x:c>
    </x:row>
    <x:row r="3" ht="15" hidden="0" customHeight="1">
      <x:c r="A3" s="81" t="str">
        <x:v>WP</x:v>
      </x:c>
      <x:c r="B3" s="81" t="str">
        <x:v>Propósito</x:v>
      </x:c>
      <x:c r="C3" s="81" t="str">
        <x:v>Tareas principales</x:v>
      </x:c>
      <x:c r="D3" s="81" t="str">
        <x:v>Métodos y herramientas</x:v>
      </x:c>
      <x:c r="E3" s="81" t="str">
        <x:v>Resultados esperados</x:v>
      </x:c>
      <x:c r="F3" s="81" t="str">
        <x:v>Participación</x:v>
      </x:c>
      <x:c r="G3" s="81" t="str">
        <x:v>Fuente</x:v>
      </x:c>
      <x:c r="H3" s="80"/>
    </x:row>
    <x:row r="4" ht="96" hidden="0" customHeight="1">
      <x:c r="A4" s="82" t="str">
        <x:v>WP1</x:v>
      </x:c>
      <x:c r="B4" s="82" t="str">
        <x:v>Modelación del peligro de crecida y socavación</x:v>
      </x:c>
      <x:c r="C4" s="82" t="str">
        <x:v>T1.1 seleccionar dos puentes; T1.2 evaluar enfoques de modelación de crecidas; T1.3 generar cargas hidrológico-hidráulicas; T1.4 calcular profundidad de socavación.</x:v>
      </x:c>
      <x:c r="D4" s="82" t="str">
        <x:v>Análisis estocástico de series de caudal; dependencia de corto y largo alcance; generación de series sintéticas; comparación por precisión, costo computacional y transferibilidad; modelos con erosión y relleno.</x:v>
      </x:c>
      <x:c r="E4" s="82" t="str">
        <x:v>Descripción de casos; revisión y guía de evaluación estocástica; peligro de socavación para los casos.</x:v>
      </x:c>
      <x:c r="F4" s="82" t="str">
        <x:v>1 posgraduado o 2 estudiantes de pregrado.</x:v>
      </x:c>
      <x:c r="G4" s="82" t="str">
        <x:v>F1; F2 pp. 5–6</x:v>
      </x:c>
      <x:c r="H4" s="80"/>
    </x:row>
    <x:row r="5" ht="96" hidden="0" customHeight="1">
      <x:c r="A5" s="82" t="str">
        <x:v>WP2</x:v>
      </x:c>
      <x:c r="B5" s="82" t="str">
        <x:v>Evaluación de vulnerabilidad de puentes frente a socavación</x:v>
      </x:c>
      <x:c r="C5" s="82" t="str">
        <x:v>T2.1 desarrollar modelos de elementos finitos; T2.2 desarrollar método simplificado de curvas de fragilidad; T2.3 evaluar los casos.</x:v>
      </x:c>
      <x:c r="D5" s="82" t="str">
        <x:v>Análisis estructural no lineal; ABAQUS/ANSYS; Monte Carlo; incertidumbre en geometría del foso y propiedades; first-order second-moment; kriging/metamodelado.</x:v>
      </x:c>
      <x:c r="E5" s="82" t="str">
        <x:v>Método simplificado de fragilidad; modelo de vulnerabilidad de los casos.</x:v>
      </x:c>
      <x:c r="F5" s="82" t="str">
        <x:v>1 posgraduado o 2 estudiantes de pregrado; un computador portátil para análisis.</x:v>
      </x:c>
      <x:c r="G5" s="82" t="str">
        <x:v>F1; F2 pp. 5–6</x:v>
      </x:c>
      <x:c r="H5" s="80"/>
    </x:row>
    <x:row r="6" ht="96" hidden="0" customHeight="1">
      <x:c r="A6" s="82" t="str">
        <x:v>WP3</x:v>
      </x:c>
      <x:c r="B6" s="82" t="str">
        <x:v>Evaluación probabilística del riesgo actual y futuro</x:v>
      </x:c>
      <x:c r="C6" s="82" t="str">
        <x:v>T3.1 riesgo actual mediante convolución de peligro y vulnerabilidad; T3.2 analizar series temporales de socavación en pilas.</x:v>
      </x:c>
      <x:c r="D6" s="82" t="str">
        <x:v>Integración de peligro, vulnerabilidad y exposición; autocorrelación y densidad de probabilidad; escenarios de variabilidad hidrológica/climática; simulaciones Monte Carlo.</x:v>
      </x:c>
      <x:c r="E6" s="82" t="str">
        <x:v>Marco probabilístico de riesgo; riesgo de socavación de los casos; comunicación a agencias de gestión de puentes.</x:v>
      </x:c>
      <x:c r="F6" s="82" t="str">
        <x:v>1 posgraduado o 2 estudiantes de pregrado; un computador portátil para análisis.</x:v>
      </x:c>
      <x:c r="G6" s="82" t="str">
        <x:v>F1; F2 p. 6</x:v>
      </x:c>
      <x:c r="H6" s="80"/>
    </x:row>
    <x:row r="7" ht="15" hidden="0" customHeight="1">
      <x:c r="A7" s="104"/>
      <x:c r="B7" s="104"/>
      <x:c r="C7" s="104"/>
      <x:c r="D7" s="104"/>
      <x:c r="E7" s="104"/>
      <x:c r="F7" s="104"/>
      <x:c r="G7" s="104"/>
      <x:c r="H7" s="80"/>
    </x:row>
    <x:row r="8" ht="26.399999618530273" hidden="0" customHeight="1">
      <x:c r="A8" s="81" t="str">
        <x:v>Componente transversal</x:v>
      </x:c>
      <x:c r="B8" s="81" t="str">
        <x:v>Descripción</x:v>
      </x:c>
      <x:c r="C8" s="81" t="str">
        <x:v>Método / canal</x:v>
      </x:c>
      <x:c r="D8" s="81" t="str">
        <x:v>Resultado</x:v>
      </x:c>
      <x:c r="E8" s="81" t="str">
        <x:v>Periodo</x:v>
      </x:c>
      <x:c r="F8" s="81" t="str">
        <x:v>Estado documental</x:v>
      </x:c>
      <x:c r="G8" s="81" t="str">
        <x:v>Fuente</x:v>
      </x:c>
      <x:c r="H8" s="80"/>
    </x:row>
    <x:row r="9" ht="52" hidden="0" customHeight="1">
      <x:c r="A9" s="82" t="str">
        <x:v>Síntesis y recomendaciones</x:v>
      </x:c>
      <x:c r="B9" s="82" t="str">
        <x:v>Integrar los resultados de WP1–WP3 en recomendaciones para estudios futuros.</x:v>
      </x:c>
      <x:c r="C9" s="82" t="str">
        <x:v>Informe ejecutivo y seminario final.</x:v>
      </x:c>
      <x:c r="D9" s="82" t="str">
        <x:v>Recomendaciones a ANID y MOP; cierre público del proyecto.</x:v>
      </x:c>
      <x:c r="E9" s="82" t="str">
        <x:v>Año 3</x:v>
      </x:c>
      <x:c r="F9" s="82" t="str">
        <x:v>Planificado</x:v>
      </x:c>
      <x:c r="G9" s="82" t="str">
        <x:v>F2 pp. 6–7</x:v>
      </x:c>
      <x:c r="H9" s="80"/>
    </x:row>
    <x:row r="10" ht="52" hidden="0" customHeight="1">
      <x:c r="A10" s="82" t="str">
        <x:v>Diseminación</x:v>
      </x:c>
      <x:c r="B10" s="82" t="str">
        <x:v>Difundir avances y resultados científicos y prácticos.</x:v>
      </x:c>
      <x:c r="C10" s="82" t="str">
        <x:v>Redes sociales, conferencias, publicaciones, medios locales y página web.</x:v>
      </x:c>
      <x:c r="D10" s="82" t="str">
        <x:v>Mayor acceso y adopción de resultados.</x:v>
      </x:c>
      <x:c r="E10" s="82" t="str">
        <x:v>Durante los 3 años</x:v>
      </x:c>
      <x:c r="F10" s="82" t="str">
        <x:v>Planificado</x:v>
      </x:c>
      <x:c r="G10" s="82" t="str">
        <x:v>F2 p. 7</x:v>
      </x:c>
      <x:c r="H10" s="80"/>
    </x:row>
    <x:row r="11" ht="52" hidden="0" customHeight="1">
      <x:c r="A11" s="82" t="str">
        <x:v>Ciencia abierta</x:v>
      </x:c>
      <x:c r="B11" s="82" t="str">
        <x:v>Liberar datos, código y análisis; publicar artículos en acceso abierto.</x:v>
      </x:c>
      <x:c r="C11" s="82" t="str">
        <x:v>Repositorio/página web y cobertura de APC.</x:v>
      </x:c>
      <x:c r="D11" s="82" t="str">
        <x:v>Reutilización y transparencia.</x:v>
      </x:c>
      <x:c r="E11" s="82" t="str">
        <x:v>Durante los 3 años</x:v>
      </x:c>
      <x:c r="F11" s="82" t="str">
        <x:v>Compromiso declarado</x:v>
      </x:c>
      <x:c r="G11" s="82" t="str">
        <x:v>F2 p. 7</x:v>
      </x:c>
      <x:c r="H11" s="80"/>
    </x:row>
    <x:row r="12" ht="52" hidden="0" customHeight="1">
      <x:c r="A12" s="82" t="str">
        <x:v>Gestión adaptativa</x:v>
      </x:c>
      <x:c r="B12" s="82" t="str">
        <x:v>Monitorear el proyecto y ajustar paquetes de trabajo ante contingencias.</x:v>
      </x:c>
      <x:c r="C12" s="82" t="str">
        <x:v>Plan de riesgos y acciones correctivas.</x:v>
      </x:c>
      <x:c r="D12" s="82" t="str">
        <x:v>Continuidad del plan de investigación.</x:v>
      </x:c>
      <x:c r="E12" s="82" t="str">
        <x:v>Continuo</x:v>
      </x:c>
      <x:c r="F12" s="82" t="str">
        <x:v>Planificado</x:v>
      </x:c>
      <x:c r="G12" s="82" t="str">
        <x:v>F2 pp. 7–8</x:v>
      </x:c>
      <x:c r="H12" s="8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6ad74547e24f4e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33" hidden="0" customWidth="1"/>
    <x:col min="4" max="4" width="58" hidden="0" customWidth="1"/>
    <x:col min="5" max="5" width="24" hidden="0" customWidth="1"/>
    <x:col min="6" max="6" width="22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Entregables, publicaciones y productos</x:v>
      </x:c>
      <x:c r="B1" s="78" t="str">
        <x:v>Entregables, publicaciones y productos</x:v>
      </x:c>
      <x:c r="C1" s="78" t="str">
        <x:v>Entregables, publicaciones y productos</x:v>
      </x:c>
      <x:c r="D1" s="78" t="str">
        <x:v>Entregables, publicaciones y productos</x:v>
      </x:c>
      <x:c r="E1" s="78" t="str">
        <x:v>Entregables, publicaciones y productos</x:v>
      </x:c>
      <x:c r="F1" s="78" t="str">
        <x:v>Entregables, publicaciones y productos</x:v>
      </x:c>
      <x:c r="G1" s="78" t="str">
        <x:v>Entregables, publicaciones y productos</x:v>
      </x:c>
      <x:c r="H1" s="78" t="str">
        <x:v>Entregables, publicaciones y productos</x:v>
      </x:c>
    </x:row>
    <x:row r="2" ht="15" hidden="0" customHeight="1">
      <x:c r="A2" s="79" t="str">
        <x:v>Incluye entregables codificados, productos de difusión y formación asociada.</x:v>
      </x:c>
      <x:c r="B2" s="79" t="str">
        <x:v>Incluye entregables codificados, productos de difusión y formación asociada.</x:v>
      </x:c>
      <x:c r="C2" s="79" t="str">
        <x:v>Incluye entregables codificados, productos de difusión y formación asociada.</x:v>
      </x:c>
      <x:c r="D2" s="79" t="str">
        <x:v>Incluye entregables codificados, productos de difusión y formación asociada.</x:v>
      </x:c>
      <x:c r="E2" s="79" t="str">
        <x:v>Incluye entregables codificados, productos de difusión y formación asociada.</x:v>
      </x:c>
      <x:c r="F2" s="79" t="str">
        <x:v>Incluye entregables codificados, productos de difusión y formación asociada.</x:v>
      </x:c>
      <x:c r="G2" s="79" t="str">
        <x:v>Incluye entregables codificados, productos de difusión y formación asociada.</x:v>
      </x:c>
      <x:c r="H2" s="79" t="str">
        <x:v>Incluye entregables codificados, productos de difusión y formación asociada.</x:v>
      </x:c>
    </x:row>
    <x:row r="3" ht="15" hidden="0" customHeight="1">
      <x:c r="A3" s="81" t="str">
        <x:v>Código</x:v>
      </x:c>
      <x:c r="B3" s="81" t="str">
        <x:v>Tipo</x:v>
      </x:c>
      <x:c r="C3" s="81" t="str">
        <x:v>WP / área</x:v>
      </x:c>
      <x:c r="D3" s="81" t="str">
        <x:v>Producto</x:v>
      </x:c>
      <x:c r="E3" s="81" t="str">
        <x:v>Momento previsto</x:v>
      </x:c>
      <x:c r="F3" s="81" t="str">
        <x:v>Observación</x:v>
      </x:c>
      <x:c r="G3" s="81" t="str">
        <x:v>Fuente</x:v>
      </x:c>
      <x:c r="H3" s="80"/>
    </x:row>
    <x:row r="4" ht="46" hidden="0" customHeight="1">
      <x:c r="A4" s="82" t="str">
        <x:v>D1.1</x:v>
      </x:c>
      <x:c r="B4" s="82" t="str">
        <x:v>Entregable técnico</x:v>
      </x:c>
      <x:c r="C4" s="82" t="str">
        <x:v>WP1</x:v>
      </x:c>
      <x:c r="D4" s="82" t="str">
        <x:v>Descripción de los casos de estudio.</x:v>
      </x:c>
      <x:c r="E4" s="82" t="str">
        <x:v>Año 1, Q1</x:v>
      </x:c>
      <x:c r="F4" s="82" t="str">
        <x:v>Sitios por seleccionar.</x:v>
      </x:c>
      <x:c r="G4" s="82" t="str">
        <x:v>F2 pp. 5, 8–9</x:v>
      </x:c>
      <x:c r="H4" s="80"/>
    </x:row>
    <x:row r="5" ht="46" hidden="0" customHeight="1">
      <x:c r="A5" s="82" t="str">
        <x:v>D1.2</x:v>
      </x:c>
      <x:c r="B5" s="82" t="str">
        <x:v>Entregable técnico</x:v>
      </x:c>
      <x:c r="C5" s="82" t="str">
        <x:v>WP1</x:v>
      </x:c>
      <x:c r="D5" s="82" t="str">
        <x:v>Revisión de marcos de modelación de crecidas y lineamientos para evaluación estocástica de socavación en puentes.</x:v>
      </x:c>
      <x:c r="E5" s="82" t="str">
        <x:v>Año 1, Q2</x:v>
      </x:c>
      <x:c r="F5" s="82" t="str">
        <x:v>Base conceptual y metodológica.</x:v>
      </x:c>
      <x:c r="G5" s="82" t="str">
        <x:v>F2 pp. 5, 8–9</x:v>
      </x:c>
      <x:c r="H5" s="80"/>
    </x:row>
    <x:row r="6" ht="46" hidden="0" customHeight="1">
      <x:c r="A6" s="82" t="str">
        <x:v>D1.3</x:v>
      </x:c>
      <x:c r="B6" s="82" t="str">
        <x:v>Entregable técnico</x:v>
      </x:c>
      <x:c r="C6" s="82" t="str">
        <x:v>WP1</x:v>
      </x:c>
      <x:c r="D6" s="82" t="str">
        <x:v>Peligro de socavación de los casos de estudio.</x:v>
      </x:c>
      <x:c r="E6" s="82" t="str">
        <x:v>Año 1 Q4 / Año 2 Q1</x:v>
      </x:c>
      <x:c r="F6" s="82" t="str">
        <x:v>Resultado de la modelación hidrológica-hidráulica y de socavación.</x:v>
      </x:c>
      <x:c r="G6" s="82" t="str">
        <x:v>F2 pp. 5, 8–9</x:v>
      </x:c>
      <x:c r="H6" s="80"/>
    </x:row>
    <x:row r="7" ht="46" hidden="0" customHeight="1">
      <x:c r="A7" s="82" t="str">
        <x:v>D2.1</x:v>
      </x:c>
      <x:c r="B7" s="82" t="str">
        <x:v>Entregable técnico</x:v>
      </x:c>
      <x:c r="C7" s="82" t="str">
        <x:v>WP2</x:v>
      </x:c>
      <x:c r="D7" s="82" t="str">
        <x:v>Método simplificado para evaluación de fragilidad por socavación.</x:v>
      </x:c>
      <x:c r="E7" s="82" t="str">
        <x:v>Año 2, Q3</x:v>
      </x:c>
      <x:c r="F7" s="82" t="str">
        <x:v>Comparado con Monte Carlo de mayor costo.</x:v>
      </x:c>
      <x:c r="G7" s="82" t="str">
        <x:v>F2 pp. 5–6, 8–9</x:v>
      </x:c>
      <x:c r="H7" s="80"/>
    </x:row>
    <x:row r="8" ht="46" hidden="0" customHeight="1">
      <x:c r="A8" s="82" t="str">
        <x:v>D2.2</x:v>
      </x:c>
      <x:c r="B8" s="82" t="str">
        <x:v>Entregable técnico</x:v>
      </x:c>
      <x:c r="C8" s="82" t="str">
        <x:v>WP2</x:v>
      </x:c>
      <x:c r="D8" s="82" t="str">
        <x:v>Modelo de vulnerabilidad de los casos de estudio.</x:v>
      </x:c>
      <x:c r="E8" s="82" t="str">
        <x:v>Año 2, Q4</x:v>
      </x:c>
      <x:c r="F8" s="82" t="str">
        <x:v>Curvas de fragilidad y niveles de daño.</x:v>
      </x:c>
      <x:c r="G8" s="82" t="str">
        <x:v>F2 pp. 5–6, 8–9</x:v>
      </x:c>
      <x:c r="H8" s="80"/>
    </x:row>
    <x:row r="9" ht="46" hidden="0" customHeight="1">
      <x:c r="A9" s="82" t="str">
        <x:v>D3.1</x:v>
      </x:c>
      <x:c r="B9" s="82" t="str">
        <x:v>Entregable técnico</x:v>
      </x:c>
      <x:c r="C9" s="82" t="str">
        <x:v>WP3</x:v>
      </x:c>
      <x:c r="D9" s="82" t="str">
        <x:v>Marco probabilístico para la evaluación del riesgo de socavación de puentes.</x:v>
      </x:c>
      <x:c r="E9" s="82" t="str">
        <x:v>Año 3, Q1</x:v>
      </x:c>
      <x:c r="F9" s="82" t="str">
        <x:v>Integra peligro, vulnerabilidad y exposición.</x:v>
      </x:c>
      <x:c r="G9" s="82" t="str">
        <x:v>F2 pp. 6, 8–9</x:v>
      </x:c>
      <x:c r="H9" s="80"/>
    </x:row>
    <x:row r="10" ht="46" hidden="0" customHeight="1">
      <x:c r="A10" s="82" t="str">
        <x:v>D3.2</x:v>
      </x:c>
      <x:c r="B10" s="82" t="str">
        <x:v>Entregable técnico</x:v>
      </x:c>
      <x:c r="C10" s="82" t="str">
        <x:v>WP3</x:v>
      </x:c>
      <x:c r="D10" s="82" t="str">
        <x:v>Riesgo de socavación de los casos de estudio.</x:v>
      </x:c>
      <x:c r="E10" s="82" t="str">
        <x:v>Año 3, Q3</x:v>
      </x:c>
      <x:c r="F10" s="82" t="str">
        <x:v>Riesgo actual y futuro.</x:v>
      </x:c>
      <x:c r="G10" s="82" t="str">
        <x:v>F2 pp. 6, 8–9</x:v>
      </x:c>
      <x:c r="H10" s="80"/>
    </x:row>
    <x:row r="11" ht="46" hidden="0" customHeight="1">
      <x:c r="A11" s="82" t="str">
        <x:v>P1</x:v>
      </x:c>
      <x:c r="B11" s="82" t="str">
        <x:v>Publicación científica</x:v>
      </x:c>
      <x:c r="C11" s="82" t="str">
        <x:v>WP1</x:v>
      </x:c>
      <x:c r="D11" s="82" t="str">
        <x:v>Artículo sobre modelación de peligro de crecida y socavación.</x:v>
      </x:c>
      <x:c r="E11" s="82" t="str">
        <x:v>Año 2, Q1</x:v>
      </x:c>
      <x:c r="F11" s="82" t="str">
        <x:v>Publicación WoS y acceso abierto planificado.</x:v>
      </x:c>
      <x:c r="G11" s="82" t="str">
        <x:v>F1; F2 pp. 7–9</x:v>
      </x:c>
      <x:c r="H11" s="80"/>
    </x:row>
    <x:row r="12" ht="46" hidden="0" customHeight="1">
      <x:c r="A12" s="82" t="str">
        <x:v>P2</x:v>
      </x:c>
      <x:c r="B12" s="82" t="str">
        <x:v>Publicación científica</x:v>
      </x:c>
      <x:c r="C12" s="82" t="str">
        <x:v>WP2</x:v>
      </x:c>
      <x:c r="D12" s="82" t="str">
        <x:v>Artículo sobre curvas de fragilidad para puentes expuestos a socavación.</x:v>
      </x:c>
      <x:c r="E12" s="82" t="str">
        <x:v>Año 2, Q4</x:v>
      </x:c>
      <x:c r="F12" s="82" t="str">
        <x:v>Publicación WoS y acceso abierto planificado.</x:v>
      </x:c>
      <x:c r="G12" s="82" t="str">
        <x:v>F1; F2 pp. 7–9</x:v>
      </x:c>
      <x:c r="H12" s="80"/>
    </x:row>
    <x:row r="13" ht="46" hidden="0" customHeight="1">
      <x:c r="A13" s="82" t="str">
        <x:v>P3</x:v>
      </x:c>
      <x:c r="B13" s="82" t="str">
        <x:v>Publicación científica</x:v>
      </x:c>
      <x:c r="C13" s="82" t="str">
        <x:v>WP3</x:v>
      </x:c>
      <x:c r="D13" s="82" t="str">
        <x:v>Artículo sobre evaluación del riesgo actual y futuro de socavación de puentes.</x:v>
      </x:c>
      <x:c r="E13" s="82" t="str">
        <x:v>Año 3, Q4</x:v>
      </x:c>
      <x:c r="F13" s="82" t="str">
        <x:v>Preparación conjunta con experto internacional.</x:v>
      </x:c>
      <x:c r="G13" s="82" t="str">
        <x:v>F1; F2 pp. 7–9</x:v>
      </x:c>
      <x:c r="H13" s="80"/>
    </x:row>
    <x:row r="14" ht="46" hidden="0" customHeight="1">
      <x:c r="A14" s="82" t="str">
        <x:v>EXRE</x:v>
      </x:c>
      <x:c r="B14" s="82" t="str">
        <x:v>Reporte</x:v>
      </x:c>
      <x:c r="C14" s="82" t="str">
        <x:v>Síntesis</x:v>
      </x:c>
      <x:c r="D14" s="82" t="str">
        <x:v>Informe ejecutivo con recomendaciones.</x:v>
      </x:c>
      <x:c r="E14" s="82" t="str">
        <x:v>Año 3, Q4</x:v>
      </x:c>
      <x:c r="F14" s="82" t="str">
        <x:v>Destinatarios: ANID y Ministerio de Obras Públicas.</x:v>
      </x:c>
      <x:c r="G14" s="82" t="str">
        <x:v>F2 pp. 6, 8–9</x:v>
      </x:c>
      <x:c r="H14" s="80"/>
    </x:row>
    <x:row r="15" ht="46" hidden="0" customHeight="1">
      <x:c r="A15" s="82" t="str">
        <x:v>FISE</x:v>
      </x:c>
      <x:c r="B15" s="82" t="str">
        <x:v>Seminario</x:v>
      </x:c>
      <x:c r="C15" s="82" t="str">
        <x:v>Cierre</x:v>
      </x:c>
      <x:c r="D15" s="82" t="str">
        <x:v>Seminario final gratuito con resultados e invitado internacional.</x:v>
      </x:c>
      <x:c r="E15" s="82" t="str">
        <x:v>Año 3, Q3–Q4</x:v>
      </x:c>
      <x:c r="F15" s="82" t="str">
        <x:v>Actividad de cierre y divulgación.</x:v>
      </x:c>
      <x:c r="G15" s="82" t="str">
        <x:v>F2 pp. 6–9</x:v>
      </x:c>
      <x:c r="H15" s="80"/>
    </x:row>
    <x:row r="16" ht="46" hidden="0" customHeight="1">
      <x:c r="A16" s="82" t="str">
        <x:v>WEB</x:v>
      </x:c>
      <x:c r="B16" s="82" t="str">
        <x:v>Recurso digital</x:v>
      </x:c>
      <x:c r="C16" s="82" t="str">
        <x:v>Difusión</x:v>
      </x:c>
      <x:c r="D16" s="82" t="str">
        <x:v>Página web del proyecto con avances, documentos y datos.</x:v>
      </x:c>
      <x:c r="E16" s="82" t="str">
        <x:v>Año 1, Q1; actualización continua</x:v>
      </x:c>
      <x:c r="F16" s="82" t="str">
        <x:v>Componente de comunicación y ciencia abierta.</x:v>
      </x:c>
      <x:c r="G16" s="82" t="str">
        <x:v>F2 pp. 7–9</x:v>
      </x:c>
      <x:c r="H16" s="80"/>
    </x:row>
    <x:row r="17" ht="46" hidden="0" customHeight="1">
      <x:c r="A17" s="82" t="str">
        <x:v>INCO</x:v>
      </x:c>
      <x:c r="B17" s="82" t="str">
        <x:v>Conferencia</x:v>
      </x:c>
      <x:c r="C17" s="82" t="str">
        <x:v>Difusión</x:v>
      </x:c>
      <x:c r="D17" s="82" t="str">
        <x:v>Participación en cuatro conferencias internacionales y otras nacionales; presentación de resultados.</x:v>
      </x:c>
      <x:c r="E17" s="82" t="str">
        <x:v>Durante los 3 años</x:v>
      </x:c>
      <x:c r="F17" s="82" t="str">
        <x:v>Ejemplos: EGU, AGU y Congreso SOCHID.</x:v>
      </x:c>
      <x:c r="G17" s="82" t="str">
        <x:v>F2 pp. 7–9</x:v>
      </x:c>
      <x:c r="H17" s="80"/>
    </x:row>
    <x:row r="18" ht="46" hidden="0" customHeight="1">
      <x:c r="A18" s="82" t="str">
        <x:v>L1</x:v>
      </x:c>
      <x:c r="B18" s="82" t="str">
        <x:v>Actividad de vinculación</x:v>
      </x:c>
      <x:c r="C18" s="82" t="str">
        <x:v>WP1/WP3</x:v>
      </x:c>
      <x:c r="D18" s="82" t="str">
        <x:v>Clase, entrevista o comunicación sobre análisis de series temporales de socavación.</x:v>
      </x:c>
      <x:c r="E18" s="82" t="str">
        <x:v>Año 2, Q4</x:v>
      </x:c>
      <x:c r="F18" s="82" t="str">
        <x:v>Actividad de participación pública.</x:v>
      </x:c>
      <x:c r="G18" s="82" t="str">
        <x:v>F2 pp. 8–9</x:v>
      </x:c>
      <x:c r="H18" s="80"/>
    </x:row>
    <x:row r="19" ht="46" hidden="0" customHeight="1">
      <x:c r="A19" s="82" t="str">
        <x:v>L2</x:v>
      </x:c>
      <x:c r="B19" s="82" t="str">
        <x:v>Actividad de vinculación</x:v>
      </x:c>
      <x:c r="C19" s="82" t="str">
        <x:v>WP3</x:v>
      </x:c>
      <x:c r="D19" s="82" t="str">
        <x:v>Clase, entrevista o comunicación sobre evaluación de riesgo de puentes.</x:v>
      </x:c>
      <x:c r="E19" s="82" t="str">
        <x:v>Año 3, Q4</x:v>
      </x:c>
      <x:c r="F19" s="82" t="str">
        <x:v>Actividad de participación pública.</x:v>
      </x:c>
      <x:c r="G19" s="82" t="str">
        <x:v>F2 pp. 8–9</x:v>
      </x:c>
      <x:c r="H19" s="80"/>
    </x:row>
    <x:row r="20" ht="46" hidden="0" customHeight="1">
      <x:c r="A20" s="82" t="str">
        <x:v>Formación</x:v>
      </x:c>
      <x:c r="B20" s="82" t="str">
        <x:v>Tesis / formación</x:v>
      </x:c>
      <x:c r="C20" s="82" t="str">
        <x:v>WP1–WP3</x:v>
      </x:c>
      <x:c r="D20" s="82" t="str">
        <x:v>Participación de estudiantes en modelación de peligro, vulnerabilidad y riesgo.</x:v>
      </x:c>
      <x:c r="E20" s="82" t="str">
        <x:v>A lo largo del proyecto</x:v>
      </x:c>
      <x:c r="F20" s="82" t="str">
        <x:v>Los PDF no identifican títulos de tesis ni confirman tesis como entregable contractual.</x:v>
      </x:c>
      <x:c r="G20" s="82" t="str">
        <x:v>F2 pp. 5–6</x:v>
      </x:c>
      <x:c r="H20" s="80"/>
    </x:row>
    <x:row r="21" ht="46" hidden="0" customHeight="1">
      <x:c r="A21" s="82" t="str">
        <x:v>Ciencia abierta</x:v>
      </x:c>
      <x:c r="B21" s="82" t="str">
        <x:v>Datos y software</x:v>
      </x:c>
      <x:c r="C21" s="82" t="str">
        <x:v>Transversal</x:v>
      </x:c>
      <x:c r="D21" s="82" t="str">
        <x:v>Datos, código y análisis libremente disponibles.</x:v>
      </x:c>
      <x:c r="E21" s="82" t="str">
        <x:v>Progresivo</x:v>
      </x:c>
      <x:c r="F21" s="82" t="str">
        <x:v>Compromiso declarado; repositorios no especificados.</x:v>
      </x:c>
      <x:c r="G21" s="82" t="str">
        <x:v>F2 p. 7</x:v>
      </x:c>
      <x:c r="H21" s="8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d5530a38dd2144c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</x:cols>
  <x:sheetData>
    <x:row r="1" ht="21.600000381469727" hidden="0" customHeight="1">
      <x:c r="A1" s="78" t="str">
        <x:v>Cronograma sintético</x:v>
      </x:c>
      <x:c r="B1" s="78" t="str">
        <x:v>Cronograma sintético</x:v>
      </x:c>
      <x:c r="C1" s="78" t="str">
        <x:v>Cronograma sintético</x:v>
      </x:c>
      <x:c r="D1" s="78" t="str">
        <x:v>Cronograma sintético</x:v>
      </x:c>
      <x:c r="E1" s="78" t="str">
        <x:v>Cronograma sintético</x:v>
      </x:c>
      <x:c r="F1" s="78" t="str">
        <x:v>Cronograma sintético</x:v>
      </x:c>
      <x:c r="G1" s="78" t="str">
        <x:v>Cronograma sintético</x:v>
      </x:c>
      <x:c r="H1" s="78" t="str">
        <x:v>Cronograma sintético</x:v>
      </x:c>
    </x:row>
    <x:row r="2" ht="15" hidden="0" customHeight="1">
      <x:c r="A2" s="79" t="str">
        <x:v>Conversión textual del diagrama de Gantt de la propuesta.</x:v>
      </x:c>
      <x:c r="B2" s="79" t="str">
        <x:v>Conversión textual del diagrama de Gantt de la propuesta.</x:v>
      </x:c>
      <x:c r="C2" s="79" t="str">
        <x:v>Conversión textual del diagrama de Gantt de la propuesta.</x:v>
      </x:c>
      <x:c r="D2" s="79" t="str">
        <x:v>Conversión textual del diagrama de Gantt de la propuesta.</x:v>
      </x:c>
      <x:c r="E2" s="79" t="str">
        <x:v>Conversión textual del diagrama de Gantt de la propuesta.</x:v>
      </x:c>
      <x:c r="F2" s="79" t="str">
        <x:v>Conversión textual del diagrama de Gantt de la propuesta.</x:v>
      </x:c>
      <x:c r="G2" s="79" t="str">
        <x:v>Conversión textual del diagrama de Gantt de la propuesta.</x:v>
      </x:c>
      <x:c r="H2" s="79" t="str">
        <x:v>Conversión textual del diagrama de Gantt de la propuesta.</x:v>
      </x:c>
    </x:row>
    <x:row r="3" ht="15" hidden="0" customHeight="1">
      <x:c r="A3" s="81" t="str">
        <x:v>Código</x:v>
      </x:c>
      <x:c r="B3" s="81" t="str">
        <x:v>Actividad</x:v>
      </x:c>
      <x:c r="C3" s="81" t="str">
        <x:v>Inicio</x:v>
      </x:c>
      <x:c r="D3" s="81" t="str">
        <x:v>Fin</x:v>
      </x:c>
      <x:c r="E3" s="81" t="str">
        <x:v>Año</x:v>
      </x:c>
      <x:c r="F3" s="81" t="str">
        <x:v>WP</x:v>
      </x:c>
      <x:c r="G3" s="81" t="str">
        <x:v>Hito / producto</x:v>
      </x:c>
      <x:c r="H3" s="81" t="str">
        <x:v>Fuente</x:v>
      </x:c>
    </x:row>
    <x:row r="4" ht="36" hidden="0" customHeight="1">
      <x:c r="A4" s="82" t="str">
        <x:v>T1.1</x:v>
      </x:c>
      <x:c r="B4" s="82" t="str">
        <x:v>Selección de casos de estudio</x:v>
      </x:c>
      <x:c r="C4" s="82" t="str">
        <x:v>2024-Q1</x:v>
      </x:c>
      <x:c r="D4" s="82" t="str">
        <x:v>2024-Q1</x:v>
      </x:c>
      <x:c r="E4" s="82" t="n">
        <x:v>1</x:v>
      </x:c>
      <x:c r="F4" s="82" t="str">
        <x:v>WP1</x:v>
      </x:c>
      <x:c r="G4" s="82" t="str">
        <x:v>M1.1; D1.1</x:v>
      </x:c>
      <x:c r="H4" s="82" t="str">
        <x:v>F2 pp. 8–9</x:v>
      </x:c>
    </x:row>
    <x:row r="5" ht="36" hidden="0" customHeight="1">
      <x:c r="A5" s="82" t="str">
        <x:v>T1.2</x:v>
      </x:c>
      <x:c r="B5" s="82" t="str">
        <x:v>Evaluación de enfoques de modelación de crecidas</x:v>
      </x:c>
      <x:c r="C5" s="82" t="str">
        <x:v>2024-Q1</x:v>
      </x:c>
      <x:c r="D5" s="82" t="str">
        <x:v>2024-Q2</x:v>
      </x:c>
      <x:c r="E5" s="82" t="n">
        <x:v>1</x:v>
      </x:c>
      <x:c r="F5" s="82" t="str">
        <x:v>WP1</x:v>
      </x:c>
      <x:c r="G5" s="82" t="str">
        <x:v>M1.2; D1.2</x:v>
      </x:c>
      <x:c r="H5" s="82" t="str">
        <x:v>F2 pp. 8–9</x:v>
      </x:c>
    </x:row>
    <x:row r="6" ht="36" hidden="0" customHeight="1">
      <x:c r="A6" s="82" t="str">
        <x:v>T1.3</x:v>
      </x:c>
      <x:c r="B6" s="82" t="str">
        <x:v>Modelación del peligro de crecida</x:v>
      </x:c>
      <x:c r="C6" s="82" t="str">
        <x:v>2024-Q2</x:v>
      </x:c>
      <x:c r="D6" s="82" t="str">
        <x:v>2024-Q4</x:v>
      </x:c>
      <x:c r="E6" s="82" t="n">
        <x:v>1</x:v>
      </x:c>
      <x:c r="F6" s="82" t="str">
        <x:v>WP1</x:v>
      </x:c>
      <x:c r="G6" s="82" t="str">
        <x:v>P1</x:v>
      </x:c>
      <x:c r="H6" s="82" t="str">
        <x:v>F2 pp. 8–9</x:v>
      </x:c>
    </x:row>
    <x:row r="7" ht="36" hidden="0" customHeight="1">
      <x:c r="A7" s="82" t="str">
        <x:v>T1.4</x:v>
      </x:c>
      <x:c r="B7" s="82" t="str">
        <x:v>Modelación del peligro de socavación</x:v>
      </x:c>
      <x:c r="C7" s="82" t="str">
        <x:v>2024-Q3</x:v>
      </x:c>
      <x:c r="D7" s="82" t="str">
        <x:v>2025-Q1</x:v>
      </x:c>
      <x:c r="E7" s="82" t="str">
        <x:v>1–2</x:v>
      </x:c>
      <x:c r="F7" s="82" t="str">
        <x:v>WP1</x:v>
      </x:c>
      <x:c r="G7" s="82" t="str">
        <x:v>D1.3; P1</x:v>
      </x:c>
      <x:c r="H7" s="82" t="str">
        <x:v>F2 pp. 8–9</x:v>
      </x:c>
    </x:row>
    <x:row r="8" ht="36" hidden="0" customHeight="1">
      <x:c r="A8" s="82" t="str">
        <x:v>T2.1</x:v>
      </x:c>
      <x:c r="B8" s="82" t="str">
        <x:v>Desarrollo de modelos de elementos finitos</x:v>
      </x:c>
      <x:c r="C8" s="82" t="str">
        <x:v>2025-Q1</x:v>
      </x:c>
      <x:c r="D8" s="82" t="str">
        <x:v>2025-Q3</x:v>
      </x:c>
      <x:c r="E8" s="82" t="n">
        <x:v>2</x:v>
      </x:c>
      <x:c r="F8" s="82" t="str">
        <x:v>WP2</x:v>
      </x:c>
      <x:c r="G8" s="82" t="str">
        <x:v>Desarrollo FE</x:v>
      </x:c>
      <x:c r="H8" s="82" t="str">
        <x:v>F2 pp. 8–9</x:v>
      </x:c>
    </x:row>
    <x:row r="9" ht="36" hidden="0" customHeight="1">
      <x:c r="A9" s="82" t="str">
        <x:v>T2.2</x:v>
      </x:c>
      <x:c r="B9" s="82" t="str">
        <x:v>Metodología simplificada de vulnerabilidad</x:v>
      </x:c>
      <x:c r="C9" s="82" t="str">
        <x:v>2025-Q3</x:v>
      </x:c>
      <x:c r="D9" s="82" t="str">
        <x:v>2025-Q4</x:v>
      </x:c>
      <x:c r="E9" s="82" t="n">
        <x:v>2</x:v>
      </x:c>
      <x:c r="F9" s="82" t="str">
        <x:v>WP2</x:v>
      </x:c>
      <x:c r="G9" s="82" t="str">
        <x:v>D2.1; M2.1; P2</x:v>
      </x:c>
      <x:c r="H9" s="82" t="str">
        <x:v>F2 pp. 8–9</x:v>
      </x:c>
    </x:row>
    <x:row r="10" ht="36" hidden="0" customHeight="1">
      <x:c r="A10" s="82" t="str">
        <x:v>T2.3</x:v>
      </x:c>
      <x:c r="B10" s="82" t="str">
        <x:v>Análisis de vulnerabilidad de casos</x:v>
      </x:c>
      <x:c r="C10" s="82" t="str">
        <x:v>2025-Q4</x:v>
      </x:c>
      <x:c r="D10" s="82" t="str">
        <x:v>2025-Q4</x:v>
      </x:c>
      <x:c r="E10" s="82" t="n">
        <x:v>2</x:v>
      </x:c>
      <x:c r="F10" s="82" t="str">
        <x:v>WP2</x:v>
      </x:c>
      <x:c r="G10" s="82" t="str">
        <x:v>D2.2</x:v>
      </x:c>
      <x:c r="H10" s="82" t="str">
        <x:v>F2 pp. 8–9</x:v>
      </x:c>
    </x:row>
    <x:row r="11" ht="36" hidden="0" customHeight="1">
      <x:c r="A11" s="82" t="str">
        <x:v>T3.1</x:v>
      </x:c>
      <x:c r="B11" s="82" t="str">
        <x:v>Evaluación de riesgo actual</x:v>
      </x:c>
      <x:c r="C11" s="82" t="str">
        <x:v>2026-Q1</x:v>
      </x:c>
      <x:c r="D11" s="82" t="str">
        <x:v>2026-Q2</x:v>
      </x:c>
      <x:c r="E11" s="82" t="n">
        <x:v>3</x:v>
      </x:c>
      <x:c r="F11" s="82" t="str">
        <x:v>WP3</x:v>
      </x:c>
      <x:c r="G11" s="82" t="str">
        <x:v>D3.1</x:v>
      </x:c>
      <x:c r="H11" s="82" t="str">
        <x:v>F2 pp. 8–9</x:v>
      </x:c>
    </x:row>
    <x:row r="12" ht="36" hidden="0" customHeight="1">
      <x:c r="A12" s="82" t="str">
        <x:v>T3.2</x:v>
      </x:c>
      <x:c r="B12" s="82" t="str">
        <x:v>Análisis de series de socavación en pilas</x:v>
      </x:c>
      <x:c r="C12" s="82" t="str">
        <x:v>2026-Q2</x:v>
      </x:c>
      <x:c r="D12" s="82" t="str">
        <x:v>2026-Q3</x:v>
      </x:c>
      <x:c r="E12" s="82" t="n">
        <x:v>3</x:v>
      </x:c>
      <x:c r="F12" s="82" t="str">
        <x:v>WP3</x:v>
      </x:c>
      <x:c r="G12" s="82" t="str">
        <x:v>D3.2</x:v>
      </x:c>
      <x:c r="H12" s="82" t="str">
        <x:v>F2 pp. 8–9</x:v>
      </x:c>
    </x:row>
    <x:row r="13" ht="36" hidden="0" customHeight="1">
      <x:c r="A13" s="82" t="str">
        <x:v>Síntesis</x:v>
      </x:c>
      <x:c r="B13" s="82" t="str">
        <x:v>Recomendaciones y lineamientos</x:v>
      </x:c>
      <x:c r="C13" s="82" t="str">
        <x:v>2026-Q3</x:v>
      </x:c>
      <x:c r="D13" s="82" t="str">
        <x:v>2026-Q4</x:v>
      </x:c>
      <x:c r="E13" s="82" t="n">
        <x:v>3</x:v>
      </x:c>
      <x:c r="F13" s="82" t="str">
        <x:v>Transversal</x:v>
      </x:c>
      <x:c r="G13" s="82" t="str">
        <x:v>FISE; EXRE</x:v>
      </x:c>
      <x:c r="H13" s="82" t="str">
        <x:v>F2 pp. 8–9</x:v>
      </x:c>
    </x:row>
    <x:row r="14" ht="36" hidden="0" customHeight="1">
      <x:c r="A14" s="82" t="str">
        <x:v>Difusión</x:v>
      </x:c>
      <x:c r="B14" s="82" t="str">
        <x:v>Conferencias, seminarios y comunicación</x:v>
      </x:c>
      <x:c r="C14" s="82" t="str">
        <x:v>2024-Q1</x:v>
      </x:c>
      <x:c r="D14" s="82" t="str">
        <x:v>2026-Q4</x:v>
      </x:c>
      <x:c r="E14" s="82" t="str">
        <x:v>1–3</x:v>
      </x:c>
      <x:c r="F14" s="82" t="str">
        <x:v>Transversal</x:v>
      </x:c>
      <x:c r="G14" s="82" t="str">
        <x:v>WEB; INCO; L1; L2</x:v>
      </x:c>
      <x:c r="H14" s="82" t="str">
        <x:v>F2 pp. 7–9</x:v>
      </x:c>
    </x:row>
    <x:row r="15" ht="36" hidden="0" customHeight="1">
      <x:c r="A15" s="82" t="str">
        <x:v>IC-1</x:v>
      </x:c>
      <x:c r="B15" s="82" t="str">
        <x:v>Cooperación internacional: peligro/modelación de crecidas</x:v>
      </x:c>
      <x:c r="C15" s="82" t="str">
        <x:v>2025-Q1</x:v>
      </x:c>
      <x:c r="D15" s="82" t="str">
        <x:v>2025-Q1</x:v>
      </x:c>
      <x:c r="E15" s="82" t="n">
        <x:v>2</x:v>
      </x:c>
      <x:c r="F15" s="82" t="str">
        <x:v>WP1</x:v>
      </x:c>
      <x:c r="G15" s="82" t="str">
        <x:v>Clase especial; preparación P1</x:v>
      </x:c>
      <x:c r="H15" s="82" t="str">
        <x:v>F2 pp. 5, 8–9</x:v>
      </x:c>
    </x:row>
    <x:row r="16" ht="36" hidden="0" customHeight="1">
      <x:c r="A16" s="82" t="str">
        <x:v>IC-2</x:v>
      </x:c>
      <x:c r="B16" s="82" t="str">
        <x:v>Cooperación internacional: estructura/socavación/riesgo</x:v>
      </x:c>
      <x:c r="C16" s="82" t="str">
        <x:v>2026-Q4</x:v>
      </x:c>
      <x:c r="D16" s="82" t="str">
        <x:v>2026-Q4</x:v>
      </x:c>
      <x:c r="E16" s="82" t="n">
        <x:v>3</x:v>
      </x:c>
      <x:c r="F16" s="82" t="str">
        <x:v>WP3</x:v>
      </x:c>
      <x:c r="G16" s="82" t="str">
        <x:v>Seminario final; preparación P3</x:v>
      </x:c>
      <x:c r="H16" s="82" t="str">
        <x:v>F2 pp. 5–7, 8–9</x:v>
      </x:c>
    </x:row>
    <x:row r="17" ht="36" hidden="0" customHeight="1">
      <x:c r="A17" s="82" t="str">
        <x:v>Papers</x:v>
      </x:c>
      <x:c r="B17" s="82" t="str">
        <x:v>Tres manuscritos científicos</x:v>
      </x:c>
      <x:c r="C17" s="82" t="str">
        <x:v>2025-Q1</x:v>
      </x:c>
      <x:c r="D17" s="82" t="str">
        <x:v>2026-Q4</x:v>
      </x:c>
      <x:c r="E17" s="82" t="str">
        <x:v>2–3</x:v>
      </x:c>
      <x:c r="F17" s="82" t="str">
        <x:v>WP1–WP3</x:v>
      </x:c>
      <x:c r="G17" s="82" t="str">
        <x:v>P1; P2; P3</x:v>
      </x:c>
      <x:c r="H17" s="82" t="str">
        <x:v>F2 pp. 7–9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b7d4de780f03471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38" hidden="0" customWidth="1"/>
    <x:col min="3" max="3" width="27" hidden="0" customWidth="1"/>
    <x:col min="4" max="4" width="50" hidden="0" customWidth="1"/>
    <x:col min="5" max="5" width="28" hidden="0" customWidth="1"/>
    <x:col min="6" max="6" width="20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Riesgos, contingencias e impacto esperado</x:v>
      </x:c>
      <x:c r="B1" s="78" t="str">
        <x:v>Riesgos, contingencias e impacto esperado</x:v>
      </x:c>
      <x:c r="C1" s="78" t="str">
        <x:v>Riesgos, contingencias e impacto esperado</x:v>
      </x:c>
      <x:c r="D1" s="78" t="str">
        <x:v>Riesgos, contingencias e impacto esperado</x:v>
      </x:c>
      <x:c r="E1" s="78" t="str">
        <x:v>Riesgos, contingencias e impacto esperado</x:v>
      </x:c>
      <x:c r="F1" s="78" t="str">
        <x:v>Riesgos, contingencias e impacto esperado</x:v>
      </x:c>
      <x:c r="G1" s="78" t="str">
        <x:v>Riesgos, contingencias e impacto esperado</x:v>
      </x:c>
      <x:c r="H1" s="78" t="str">
        <x:v>Riesgos, contingencias e impacto esperado</x:v>
      </x:c>
    </x:row>
    <x:row r="2" ht="15" hidden="0" customHeight="1">
      <x:c r="A2" s="79" t="str">
        <x:v>Riesgos operativos explícitos y resultados científicos/prácticos esperados.</x:v>
      </x:c>
      <x:c r="B2" s="79" t="str">
        <x:v>Riesgos operativos explícitos y resultados científicos/prácticos esperados.</x:v>
      </x:c>
      <x:c r="C2" s="79" t="str">
        <x:v>Riesgos operativos explícitos y resultados científicos/prácticos esperados.</x:v>
      </x:c>
      <x:c r="D2" s="79" t="str">
        <x:v>Riesgos operativos explícitos y resultados científicos/prácticos esperados.</x:v>
      </x:c>
      <x:c r="E2" s="79" t="str">
        <x:v>Riesgos operativos explícitos y resultados científicos/prácticos esperados.</x:v>
      </x:c>
      <x:c r="F2" s="79" t="str">
        <x:v>Riesgos operativos explícitos y resultados científicos/prácticos esperados.</x:v>
      </x:c>
      <x:c r="G2" s="79" t="str">
        <x:v>Riesgos operativos explícitos y resultados científicos/prácticos esperados.</x:v>
      </x:c>
      <x:c r="H2" s="79" t="str">
        <x:v>Riesgos operativos explícitos y resultados científicos/prácticos esperados.</x:v>
      </x:c>
    </x:row>
    <x:row r="3" ht="15" hidden="0" customHeight="1">
      <x:c r="A3" s="81" t="str">
        <x:v>Riesgo</x:v>
      </x:c>
      <x:c r="B3" s="81" t="str">
        <x:v>Probabilidad</x:v>
      </x:c>
      <x:c r="C3" s="81" t="str">
        <x:v>Impacto</x:v>
      </x:c>
      <x:c r="D3" s="81" t="str">
        <x:v>Acciones de contingencia</x:v>
      </x:c>
      <x:c r="E3" s="81" t="str">
        <x:v>Fuente</x:v>
      </x:c>
      <x:c r="F3" s="104"/>
      <x:c r="G3" s="80"/>
      <x:c r="H3" s="80"/>
    </x:row>
    <x:row r="4" ht="46" hidden="0" customHeight="1">
      <x:c r="A4" s="82" t="str">
        <x:v>No encontrar casos críticos en WP1</x:v>
      </x:c>
      <x:c r="B4" s="82" t="str">
        <x:v>Muy baja</x:v>
      </x:c>
      <x:c r="C4" s="82" t="str">
        <x:v>Alta</x:v>
      </x:c>
      <x:c r="D4" s="82" t="str">
        <x:v>Trabajar con un solo caso o con un caso numérico simplificado.</x:v>
      </x:c>
      <x:c r="E4" s="82" t="str">
        <x:v>F2 p. 8</x:v>
      </x:c>
      <x:c r="F4" s="104"/>
      <x:c r="G4" s="80"/>
      <x:c r="H4" s="80"/>
    </x:row>
    <x:row r="5" ht="46" hidden="0" customHeight="1">
      <x:c r="A5" s="82" t="str">
        <x:v>Selección incorrecta del caso de estudio</x:v>
      </x:c>
      <x:c r="B5" s="82" t="str">
        <x:v>Baja</x:v>
      </x:c>
      <x:c r="C5" s="82" t="str">
        <x:v>Alta</x:v>
      </x:c>
      <x:c r="D5" s="82" t="str">
        <x:v>Seleccionar un nuevo caso.</x:v>
      </x:c>
      <x:c r="E5" s="82" t="str">
        <x:v>F2 p. 8</x:v>
      </x:c>
      <x:c r="F5" s="104"/>
      <x:c r="G5" s="80"/>
      <x:c r="H5" s="80"/>
    </x:row>
    <x:row r="6" ht="46" hidden="0" customHeight="1">
      <x:c r="A6" s="82" t="str">
        <x:v>Demora en adquirir equipamiento computacional</x:v>
      </x:c>
      <x:c r="B6" s="82" t="str">
        <x:v>Baja</x:v>
      </x:c>
      <x:c r="C6" s="82" t="str">
        <x:v>Media</x:v>
      </x:c>
      <x:c r="D6" s="82" t="str">
        <x:v>Usar equipamiento existente.</x:v>
      </x:c>
      <x:c r="E6" s="82" t="str">
        <x:v>F2 p. 8</x:v>
      </x:c>
      <x:c r="F6" s="104"/>
      <x:c r="G6" s="80"/>
      <x:c r="H6" s="80"/>
    </x:row>
    <x:row r="7" ht="46" hidden="0" customHeight="1">
      <x:c r="A7" s="82" t="str">
        <x:v>Problemas con análisis numéricos en WP2 o WP3</x:v>
      </x:c>
      <x:c r="B7" s="82" t="str">
        <x:v>Media</x:v>
      </x:c>
      <x:c r="C7" s="82" t="str">
        <x:v>Media</x:v>
      </x:c>
      <x:c r="D7" s="82" t="str">
        <x:v>Simplificar modelos numéricos o emplear modelos analíticos para estimar capacidad del puente.</x:v>
      </x:c>
      <x:c r="E7" s="82" t="str">
        <x:v>F2 p. 8</x:v>
      </x:c>
      <x:c r="F7" s="104"/>
      <x:c r="G7" s="80"/>
      <x:c r="H7" s="80"/>
    </x:row>
    <x:row r="8" ht="15" hidden="0" customHeight="1">
      <x:c r="A8" s="104"/>
      <x:c r="B8" s="104"/>
      <x:c r="C8" s="104"/>
      <x:c r="D8" s="104"/>
      <x:c r="E8" s="104"/>
      <x:c r="F8" s="104"/>
      <x:c r="G8" s="80"/>
      <x:c r="H8" s="80"/>
    </x:row>
    <x:row r="9" ht="15" hidden="0" customHeight="1">
      <x:c r="A9" s="81" t="str">
        <x:v>Dimensión</x:v>
      </x:c>
      <x:c r="B9" s="81" t="str">
        <x:v>Impacto esperado</x:v>
      </x:c>
      <x:c r="C9" s="81" t="str">
        <x:v>Beneficiarios</x:v>
      </x:c>
      <x:c r="D9" s="81" t="str">
        <x:v>Mecanismo</x:v>
      </x:c>
      <x:c r="E9" s="81" t="str">
        <x:v>Horizonte</x:v>
      </x:c>
      <x:c r="F9" s="81" t="str">
        <x:v>Fuente</x:v>
      </x:c>
      <x:c r="G9" s="80"/>
      <x:c r="H9" s="80"/>
    </x:row>
    <x:row r="10" ht="108" hidden="0" customHeight="1">
      <x:c r="A10" s="82" t="str">
        <x:v>Científica</x:v>
      </x:c>
      <x:c r="B10" s="82" t="str">
        <x:v>Nuevos modelos hidrológico-hidráulicos, de socavación, vulnerabilidad y riesgo.</x:v>
      </x:c>
      <x:c r="C10" s="82" t="str">
        <x:v>Comunidad académica</x:v>
      </x:c>
      <x:c r="D10" s="82" t="str">
        <x:v>Tres artículos, datos/código abiertos y conferencias.</x:v>
      </x:c>
      <x:c r="E10" s="82" t="str">
        <x:v>Durante y después del proyecto</x:v>
      </x:c>
      <x:c r="F10" s="82" t="str">
        <x:v>F1; F2 p. 7</x:v>
      </x:c>
      <x:c r="G10" s="80"/>
      <x:c r="H10" s="80"/>
    </x:row>
    <x:row r="11" ht="108" hidden="0" customHeight="1">
      <x:c r="A11" s="82" t="str">
        <x:v>Técnica</x:v>
      </x:c>
      <x:c r="B11" s="82" t="str">
        <x:v>Métodos más realistas para priorizar mitigación y eventualmente apoyar criterios de diseño.</x:v>
      </x:c>
      <x:c r="C11" s="82" t="str">
        <x:v>Agencias de puentes e ingeniería</x:v>
      </x:c>
      <x:c r="D11" s="82" t="str">
        <x:v>Marco probabilístico, curvas de fragilidad y recomendaciones.</x:v>
      </x:c>
      <x:c r="E11" s="82" t="str">
        <x:v>Mediano plazo</x:v>
      </x:c>
      <x:c r="F11" s="82" t="str">
        <x:v>F2 pp. 4, 7</x:v>
      </x:c>
      <x:c r="G11" s="80"/>
      <x:c r="H11" s="80"/>
    </x:row>
    <x:row r="12" ht="108" hidden="0" customHeight="1">
      <x:c r="A12" s="82" t="str">
        <x:v>Pública</x:v>
      </x:c>
      <x:c r="B12" s="82" t="str">
        <x:v>Mejor comunicación del riesgo y apoyo a decisiones de gestión.</x:v>
      </x:c>
      <x:c r="C12" s="82" t="str">
        <x:v>MOP, ANID, operadores y comunidades</x:v>
      </x:c>
      <x:c r="D12" s="82" t="str">
        <x:v>Informe ejecutivo, seminario y actividades de vinculación.</x:v>
      </x:c>
      <x:c r="E12" s="82" t="str">
        <x:v>Año 3 y posterior</x:v>
      </x:c>
      <x:c r="F12" s="82" t="str">
        <x:v>F2 pp. 6–7</x:v>
      </x:c>
      <x:c r="G12" s="80"/>
      <x:c r="H12" s="80"/>
    </x:row>
    <x:row r="13" ht="108" hidden="0" customHeight="1">
      <x:c r="A13" s="82" t="str">
        <x:v>Social</x:v>
      </x:c>
      <x:c r="B13" s="82" t="str">
        <x:v>Protección de personas y cambio en la percepción del riesgo.</x:v>
      </x:c>
      <x:c r="C13" s="82" t="str">
        <x:v>Usuarios de infraestructura y comunidades</x:v>
      </x:c>
      <x:c r="D13" s="82" t="str">
        <x:v>Reducción del riesgo y mejor información.</x:v>
      </x:c>
      <x:c r="E13" s="82" t="str">
        <x:v>Largo plazo</x:v>
      </x:c>
      <x:c r="F13" s="82" t="str">
        <x:v>F1; F2 p. 7</x:v>
      </x:c>
      <x:c r="G13" s="80"/>
      <x:c r="H13" s="80"/>
    </x:row>
    <x:row r="14" ht="108" hidden="0" customHeight="1">
      <x:c r="A14" s="82" t="str">
        <x:v>Económica</x:v>
      </x:c>
      <x:c r="B14" s="82" t="str">
        <x:v>Ahorros por prevención y priorización de intervenciones.</x:v>
      </x:c>
      <x:c r="C14" s="82" t="str">
        <x:v>Sector público y operadores</x:v>
      </x:c>
      <x:c r="D14" s="82" t="str">
        <x:v>Evaluación explícita del riesgo frente a múltiples crecidas.</x:v>
      </x:c>
      <x:c r="E14" s="82" t="str">
        <x:v>Largo plazo</x:v>
      </x:c>
      <x:c r="F14" s="82" t="str">
        <x:v>F1; F2 pp. 1, 7</x:v>
      </x:c>
      <x:c r="G14" s="80"/>
      <x:c r="H14" s="80"/>
    </x:row>
    <x:row r="15" ht="108" hidden="0" customHeight="1">
      <x:c r="A15" s="82" t="str">
        <x:v>Patrimonio</x:v>
      </x:c>
      <x:c r="B15" s="82" t="str">
        <x:v>Preservación de infraestructura crítica y puentes antiguos.</x:v>
      </x:c>
      <x:c r="C15" s="82" t="str">
        <x:v>Estado y comunidades</x:v>
      </x:c>
      <x:c r="D15" s="82" t="str">
        <x:v>Mejores decisiones de conservación y mitigación.</x:v>
      </x:c>
      <x:c r="E15" s="82" t="str">
        <x:v>Largo plazo</x:v>
      </x:c>
      <x:c r="F15" s="82" t="str">
        <x:v>F1; F2 pp. 4, 7</x:v>
      </x:c>
      <x:c r="G15" s="80"/>
      <x:c r="H15" s="80"/>
    </x:row>
    <x:row r="16" ht="108" hidden="0" customHeight="1">
      <x:c r="A16" s="82" t="str">
        <x:v>Normativa</x:v>
      </x:c>
      <x:c r="B16" s="82" t="str">
        <x:v>Posible contribución a futuros códigos chilenos e internacionales.</x:v>
      </x:c>
      <x:c r="C16" s="82" t="str">
        <x:v>Diseñadores y autoridades</x:v>
      </x:c>
      <x:c r="D16" s="82" t="str">
        <x:v>Evidencia sobre tratamiento realista de socavación y efectos de crecidas.</x:v>
      </x:c>
      <x:c r="E16" s="82" t="str">
        <x:v>Posterior al proyecto</x:v>
      </x:c>
      <x:c r="F16" s="82" t="str">
        <x:v>F2 pp. 6–7</x:v>
      </x:c>
      <x:c r="G16" s="80"/>
      <x:c r="H16" s="8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a443f39ec291460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63" hidden="0" customWidth="1"/>
    <x:col min="4" max="4" width="54" hidden="0" customWidth="1"/>
    <x:col min="5" max="5" width="20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21.600000381469727" hidden="0" customHeight="1">
      <x:c r="A1" s="78" t="str">
        <x:v>Fuentes y trazabilidad</x:v>
      </x:c>
      <x:c r="B1" s="78" t="str">
        <x:v>Fuentes y trazabilidad</x:v>
      </x:c>
      <x:c r="C1" s="78" t="str">
        <x:v>Fuentes y trazabilidad</x:v>
      </x:c>
      <x:c r="D1" s="78" t="str">
        <x:v>Fuentes y trazabilidad</x:v>
      </x:c>
      <x:c r="E1" s="78" t="str">
        <x:v>Fuentes y trazabilidad</x:v>
      </x:c>
      <x:c r="F1" s="78" t="str">
        <x:v>Fuentes y trazabilidad</x:v>
      </x:c>
      <x:c r="G1" s="78" t="str">
        <x:v>Fuentes y trazabilidad</x:v>
      </x:c>
      <x:c r="H1" s="78" t="str">
        <x:v>Fuentes y trazabilidad</x:v>
      </x:c>
    </x:row>
    <x:row r="2" ht="15" hidden="0" customHeight="1">
      <x:c r="A2" s="79" t="str">
        <x:v>Los datos del Excel priorizan los PDF locales y usan fuentes públicas para completar campos deliberadamente anonimizados.</x:v>
      </x:c>
      <x:c r="B2" s="79" t="str">
        <x:v>Los datos del Excel priorizan los PDF locales y usan fuentes públicas para completar campos deliberadamente anonimizados.</x:v>
      </x:c>
      <x:c r="C2" s="79" t="str">
        <x:v>Los datos del Excel priorizan los PDF locales y usan fuentes públicas para completar campos deliberadamente anonimizados.</x:v>
      </x:c>
      <x:c r="D2" s="79" t="str">
        <x:v>Los datos del Excel priorizan los PDF locales y usan fuentes públicas para completar campos deliberadamente anonimizados.</x:v>
      </x:c>
      <x:c r="E2" s="79" t="str">
        <x:v>Los datos del Excel priorizan los PDF locales y usan fuentes públicas para completar campos deliberadamente anonimizados.</x:v>
      </x:c>
      <x:c r="F2" s="79" t="str">
        <x:v>Los datos del Excel priorizan los PDF locales y usan fuentes públicas para completar campos deliberadamente anonimizados.</x:v>
      </x:c>
      <x:c r="G2" s="79" t="str">
        <x:v>Los datos del Excel priorizan los PDF locales y usan fuentes públicas para completar campos deliberadamente anonimizados.</x:v>
      </x:c>
      <x:c r="H2" s="79" t="str">
        <x:v>Los datos del Excel priorizan los PDF locales y usan fuentes públicas para completar campos deliberadamente anonimizados.</x:v>
      </x:c>
    </x:row>
    <x:row r="3" ht="15" hidden="0" customHeight="1">
      <x:c r="A3" s="81" t="str">
        <x:v>ID</x:v>
      </x:c>
      <x:c r="B3" s="81" t="str">
        <x:v>Tipo</x:v>
      </x:c>
      <x:c r="C3" s="81" t="str">
        <x:v>Fuente</x:v>
      </x:c>
      <x:c r="D3" s="81" t="str">
        <x:v>Ruta / URL</x:v>
      </x:c>
      <x:c r="E3" s="81" t="str">
        <x:v>Uso principal</x:v>
      </x:c>
      <x:c r="F3" s="81" t="str">
        <x:v>Notas</x:v>
      </x:c>
      <x:c r="G3" s="80"/>
      <x:c r="H3" s="80"/>
    </x:row>
    <x:row r="4" ht="66" hidden="0" customHeight="1">
      <x:c r="A4" s="82" t="str">
        <x:v>F1</x:v>
      </x:c>
      <x:c r="B4" s="82" t="str">
        <x:v>PDF local</x:v>
      </x:c>
      <x:c r="C4" s="82" t="str">
        <x:v>AbstractIniEng.pdf</x:v>
      </x:c>
      <x:c r="D4" s="82" t="str">
        <x:v>C:\Users\amand\Desktop\Trabajo DIseño ux-ui\web-alonso\información\AbstractIniEng.pdf</x:v>
      </x:c>
      <x:c r="E4" s="82" t="str">
        <x:v>Resumen, objetivo, metodología y resultados previstos</x:v>
      </x:c>
      <x:c r="F4" s="82" t="str">
        <x:v>1 página; fuente primaria proporcionada por el usuario.</x:v>
      </x:c>
      <x:c r="G4" s="80"/>
      <x:c r="H4" s="80"/>
    </x:row>
    <x:row r="5" ht="66" hidden="0" customHeight="1">
      <x:c r="A5" s="82" t="str">
        <x:v>F2</x:v>
      </x:c>
      <x:c r="B5" s="82" t="str">
        <x:v>PDF local</x:v>
      </x:c>
      <x:c r="C5" s="82" t="str">
        <x:v>ProposedResearchIniEng.pdf</x:v>
      </x:c>
      <x:c r="D5" s="82" t="str">
        <x:v>C:\Users\amand\Desktop\Trabajo DIseño ux-ui\web-alonso\información\ProposedResearchIniEng.pdf</x:v>
      </x:c>
      <x:c r="E5" s="82" t="str">
        <x:v>Estado del arte, metodología, casos, entregables, riesgos y cronograma</x:v>
      </x:c>
      <x:c r="F5" s="82" t="str">
        <x:v>9 páginas; fuente primaria proporcionada por el usuario.</x:v>
      </x:c>
      <x:c r="G5" s="80"/>
      <x:c r="H5" s="80"/>
    </x:row>
    <x:row r="6" ht="66" hidden="0" customHeight="1">
      <x:c r="A6" s="82" t="str">
        <x:v>F3</x:v>
      </x:c>
      <x:c r="B6" s="82" t="str">
        <x:v>Fuente pública</x:v>
      </x:c>
      <x:c r="C6" s="82" t="str">
        <x:v>Nómina de proyectos FONDECYT Iniciación 2024 seleccionados</x:v>
      </x:c>
      <x:c r="D6" s="82" t="str">
        <x:v>https://www.dii.uchile.cl/wp-content/uploads/2024/01/nomina-proyectos-Fondecyt-Iniciacion-seleccionados.pdf</x:v>
      </x:c>
      <x:c r="E6" s="82" t="str">
        <x:v>Grant ID, investigador responsable, grupo e institución</x:v>
      </x:c>
      <x:c r="F6" s="82" t="str">
        <x:v>Documento de adjudicación de ANID republicado por Universidad de Chile.</x:v>
      </x:c>
      <x:c r="G6" s="80"/>
      <x:c r="H6" s="80"/>
    </x:row>
    <x:row r="7" ht="66" hidden="0" customHeight="1">
      <x:c r="A7" s="82" t="str">
        <x:v>F4</x:v>
      </x:c>
      <x:c r="B7" s="82" t="str">
        <x:v>Fuente pública</x:v>
      </x:c>
      <x:c r="C7" s="82" t="str">
        <x:v>Perfil ANID del investigador</x:v>
      </x:c>
      <x:c r="D7" s="82" t="str">
        <x:v>https://investigadores.anid.cl/en/public_search/researcher?id=35276</x:v>
      </x:c>
      <x:c r="E7" s="82" t="str">
        <x:v>Instrumento, año y Grant ID</x:v>
      </x:c>
      <x:c r="F7" s="82" t="str">
        <x:v>Confirma FONDECYT Iniciación 11240171.</x:v>
      </x:c>
      <x:c r="G7" s="80"/>
      <x:c r="H7" s="80"/>
    </x:row>
    <x:row r="8" ht="66" hidden="0" customHeight="1">
      <x:c r="A8" s="82" t="str">
        <x:v>F5</x:v>
      </x:c>
      <x:c r="B8" s="82" t="str">
        <x:v>Fuente pública</x:v>
      </x:c>
      <x:c r="C8" s="82" t="str">
        <x:v>Página pública FLOOD RESILIENCE</x:v>
      </x:c>
      <x:c r="D8" s="82" t="str">
        <x:v>https://alonsopizarro.cl/project/flood-resilience/</x:v>
      </x:c>
      <x:c r="E8" s="82" t="str">
        <x:v>Título, descripción y palabras temáticas</x:v>
      </x:c>
      <x:c r="F8" s="82" t="str">
        <x:v>Descripción coincide con el abstract local.</x:v>
      </x:c>
      <x:c r="G8" s="80"/>
      <x:c r="H8" s="80"/>
    </x:row>
    <x:row r="9" ht="66" hidden="0" customHeight="1">
      <x:c r="A9" s="82" t="str">
        <x:v>F6</x:v>
      </x:c>
      <x:c r="B9" s="82" t="str">
        <x:v>Fuente pública</x:v>
      </x:c>
      <x:c r="C9" s="82" t="str">
        <x:v>CV público de Alonso Pizarro</x:v>
      </x:c>
      <x:c r="D9" s="82" t="str">
        <x:v>https://alonsopizarro.cl/uploads/resume.pdf</x:v>
      </x:c>
      <x:c r="E9" s="82" t="str">
        <x:v>PI, institución y periodo 2024–actualidad</x:v>
      </x:c>
      <x:c r="F9" s="82" t="str">
        <x:v>Usado solo para completar identidad/institución omitidas por anonimización.</x:v>
      </x:c>
      <x:c r="G9" s="80"/>
      <x:c r="H9" s="80"/>
    </x:row>
    <x:row r="10" ht="66" hidden="0" customHeight="1">
      <x:c r="A10" s="82" t="str">
        <x:v>F7</x:v>
      </x:c>
      <x:c r="B10" s="82" t="str">
        <x:v>Registro público</x:v>
      </x:c>
      <x:c r="C10" s="82" t="str">
        <x:v>Registro de transferencias ANID 2025</x:v>
      </x:c>
      <x:c r="D10" s="82" t="str">
        <x:v>https://registros19862.gob.cl/institucion/60915000/transferencias?offset=1800&amp;trans_emitidas%5Bperiodos%5D=2025</x:v>
      </x:c>
      <x:c r="E10" s="82" t="str">
        <x:v>Transferencia asociada a 11240171</x:v>
      </x:c>
      <x:c r="F10" s="82" t="str">
        <x:v>CLP 4.670.000; no representa necesariamente el financiamiento total.</x:v>
      </x:c>
      <x:c r="G10" s="80"/>
      <x:c r="H10" s="80"/>
    </x:row>
    <x:row r="11" ht="66" hidden="0" customHeight="1">
      <x:c r="A11" s="82" t="str">
        <x:v>F8</x:v>
      </x:c>
      <x:c r="B11" s="82" t="str">
        <x:v>Publicación con reconocimiento de financiamiento</x:v>
      </x:c>
      <x:c r="C11" s="82" t="str">
        <x:v>Preprint EGUsphere 2025-6530</x:v>
      </x:c>
      <x:c r="D11" s="82" t="str">
        <x:v>https://egusphere.copernicus.org/preprints/2026/egusphere-2025-6530/egusphere-2025-6530.pdf</x:v>
      </x:c>
      <x:c r="E11" s="82" t="str">
        <x:v>Confirmación del apoyo ANID FONDECYT Iniciación 11240171</x:v>
      </x:c>
      <x:c r="F11" s="82" t="str">
        <x:v>Fuente secundaria; no se usa para atribuir equipo contractual.</x:v>
      </x:c>
      <x:c r="G11" s="80"/>
      <x:c r="H11" s="80"/>
    </x:row>
    <x:row r="12" ht="15" hidden="0" customHeight="1">
      <x:c r="A12" s="104"/>
      <x:c r="B12" s="104"/>
      <x:c r="C12" s="104"/>
      <x:c r="D12" s="104"/>
      <x:c r="E12" s="104"/>
      <x:c r="F12" s="104"/>
      <x:c r="G12" s="80"/>
      <x:c r="H12" s="80"/>
    </x:row>
    <x:row r="13" ht="26.399999618530273" hidden="0" customHeight="1">
      <x:c r="A13" s="106" t="str">
        <x:v>Criterio de tratamiento</x:v>
      </x:c>
      <x:c r="B13" s="106" t="str">
        <x:v>Aplicación</x:v>
      </x:c>
      <x:c r="C13" s="106" t="str">
        <x:v>Detalle</x:v>
      </x:c>
      <x:c r="D13" s="106"/>
      <x:c r="E13" s="106"/>
      <x:c r="F13" s="106"/>
      <x:c r="G13" s="80"/>
      <x:c r="H13" s="80"/>
    </x:row>
    <x:row r="14" ht="50" hidden="0" customHeight="1">
      <x:c r="A14" s="82" t="str">
        <x:v>No inventar</x:v>
      </x:c>
      <x:c r="B14" s="82" t="str">
        <x:v>Campos ausentes</x:v>
      </x:c>
      <x:c r="C14" s="82" t="str">
        <x:v>Presupuesto total, aporte institucional, nombres de estudiantes/expertos y puentes definitivos se marcan como no especificados.</x:v>
      </x:c>
      <x:c r="D14" s="82"/>
      <x:c r="E14" s="82"/>
      <x:c r="F14" s="82"/>
      <x:c r="G14" s="80"/>
      <x:c r="H14" s="80"/>
    </x:row>
    <x:row r="15" ht="50" hidden="0" customHeight="1">
      <x:c r="A15" s="82" t="str">
        <x:v>Distinguir evidencia</x:v>
      </x:c>
      <x:c r="B15" s="82" t="str">
        <x:v>Casos de estudio</x:v>
      </x:c>
      <x:c r="C15" s="82" t="str">
        <x:v>Los puentes de la página 2 son ejemplos de contexto; no se presentan como los dos casos definitivos del proyecto.</x:v>
      </x:c>
      <x:c r="D15" s="82"/>
      <x:c r="E15" s="82"/>
      <x:c r="F15" s="82"/>
      <x:c r="G15" s="80"/>
      <x:c r="H15" s="80"/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941afb576f2a40c0"/>
  </x:tableParts>
</x:worksheet>
</file>